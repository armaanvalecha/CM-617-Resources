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FB09CE7-105E-4BA9-B532-15D9CB872CBF}" xr6:coauthVersionLast="47" xr6:coauthVersionMax="47" xr10:uidLastSave="{00000000-0000-0000-0000-000000000000}"/>
  <bookViews>
    <workbookView xWindow="-108" yWindow="-108" windowWidth="23256" windowHeight="12456" tabRatio="500" firstSheet="6" activeTab="6" xr2:uid="{00000000-000D-0000-FFFF-FFFF00000000}"/>
  </bookViews>
  <sheets>
    <sheet name="UPAg_crops" sheetId="2" r:id="rId1"/>
    <sheet name="Groundwater" sheetId="3" r:id="rId2"/>
    <sheet name="Rainfall" sheetId="4" r:id="rId3"/>
    <sheet name="Sugarcane" sheetId="5" r:id="rId4"/>
    <sheet name="Rice" sheetId="6" r:id="rId5"/>
    <sheet name="Coarse_cereals" sheetId="7" r:id="rId6"/>
    <sheet name="National_production" sheetId="8" r:id="rId7"/>
    <sheet name="MSP_FRP" sheetId="9" r:id="rId8"/>
    <sheet name="Ethanol" sheetId="10" r:id="rId9"/>
    <sheet name="Source_Log" sheetId="11" r:id="rId10"/>
    <sheet name="Gaps" sheetId="12" r:id="rId11"/>
    <sheet name="Analysis_H1" sheetId="13" r:id="rId12"/>
    <sheet name="Analysis_H2H3" sheetId="14" r:id="rId13"/>
    <sheet name="Analysis_H4" sheetId="15" r:id="rId14"/>
    <sheet name="Analysis_Water" sheetId="16" r:id="rId15"/>
    <sheet name="Analysis_Stage4" sheetId="17" r:id="rId16"/>
    <sheet name="README" sheetId="1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9" i="17" l="1"/>
  <c r="C59" i="17"/>
  <c r="D59" i="17" s="1"/>
  <c r="B59" i="17"/>
  <c r="I58" i="17"/>
  <c r="J58" i="17" s="1"/>
  <c r="C58" i="17"/>
  <c r="D58" i="17" s="1"/>
  <c r="B58" i="17"/>
  <c r="I57" i="17"/>
  <c r="C57" i="17"/>
  <c r="D57" i="17" s="1"/>
  <c r="B57" i="17"/>
  <c r="I56" i="17"/>
  <c r="C56" i="17"/>
  <c r="D56" i="17" s="1"/>
  <c r="B56" i="17"/>
  <c r="I55" i="17"/>
  <c r="C55" i="17"/>
  <c r="D55" i="17" s="1"/>
  <c r="B55" i="17"/>
  <c r="I54" i="17"/>
  <c r="C54" i="17"/>
  <c r="D54" i="17" s="1"/>
  <c r="B54" i="17"/>
  <c r="I53" i="17"/>
  <c r="C53" i="17"/>
  <c r="D53" i="17" s="1"/>
  <c r="B53" i="17"/>
  <c r="I52" i="17"/>
  <c r="C52" i="17"/>
  <c r="D52" i="17" s="1"/>
  <c r="B52" i="17"/>
  <c r="B37" i="17"/>
  <c r="C36" i="17"/>
  <c r="C37" i="17" s="1"/>
  <c r="B36" i="17"/>
  <c r="C35" i="17"/>
  <c r="B35" i="17"/>
  <c r="C32" i="17"/>
  <c r="B32" i="17"/>
  <c r="B24" i="17"/>
  <c r="C24" i="17" s="1"/>
  <c r="B23" i="17"/>
  <c r="C23" i="17" s="1"/>
  <c r="C22" i="17"/>
  <c r="C21" i="17"/>
  <c r="C20" i="17"/>
  <c r="C19" i="17"/>
  <c r="C18" i="17"/>
  <c r="C17" i="17"/>
  <c r="C16" i="17"/>
  <c r="C15" i="17"/>
  <c r="C14" i="17"/>
  <c r="C13" i="17"/>
  <c r="C12" i="17"/>
  <c r="B10" i="17"/>
  <c r="C10" i="17" s="1"/>
  <c r="B9" i="17"/>
  <c r="C9" i="17" s="1"/>
  <c r="B6" i="17"/>
  <c r="C6" i="17" s="1"/>
  <c r="B5" i="17"/>
  <c r="C5" i="17" s="1"/>
  <c r="K13" i="16"/>
  <c r="M13" i="16" s="1"/>
  <c r="J13" i="16"/>
  <c r="H13" i="16"/>
  <c r="E13" i="16"/>
  <c r="D13" i="16"/>
  <c r="C13" i="16"/>
  <c r="L13" i="16" s="1"/>
  <c r="N13" i="16" s="1"/>
  <c r="B13" i="16"/>
  <c r="G13" i="16" s="1"/>
  <c r="I13" i="16" s="1"/>
  <c r="N12" i="16"/>
  <c r="M12" i="16"/>
  <c r="L12" i="16"/>
  <c r="K12" i="16"/>
  <c r="H12" i="16"/>
  <c r="J12" i="16" s="1"/>
  <c r="G12" i="16"/>
  <c r="I12" i="16" s="1"/>
  <c r="I14" i="15"/>
  <c r="N14" i="15" s="1"/>
  <c r="H14" i="15"/>
  <c r="M14" i="15" s="1"/>
  <c r="G14" i="15"/>
  <c r="L14" i="15" s="1"/>
  <c r="F14" i="15"/>
  <c r="E14" i="15"/>
  <c r="C14" i="15"/>
  <c r="D14" i="15" s="1"/>
  <c r="B14" i="15"/>
  <c r="I13" i="15"/>
  <c r="H13" i="15"/>
  <c r="F13" i="15"/>
  <c r="E13" i="15"/>
  <c r="G13" i="15" s="1"/>
  <c r="C13" i="15"/>
  <c r="D13" i="15" s="1"/>
  <c r="B13" i="15"/>
  <c r="I12" i="15"/>
  <c r="N12" i="15" s="1"/>
  <c r="H12" i="15"/>
  <c r="M12" i="15" s="1"/>
  <c r="G12" i="15"/>
  <c r="F12" i="15"/>
  <c r="E12" i="15"/>
  <c r="C12" i="15"/>
  <c r="D12" i="15" s="1"/>
  <c r="K12" i="15" s="1"/>
  <c r="B12" i="15"/>
  <c r="I11" i="15"/>
  <c r="H11" i="15"/>
  <c r="F11" i="15"/>
  <c r="G11" i="15" s="1"/>
  <c r="E11" i="15"/>
  <c r="C11" i="15"/>
  <c r="D11" i="15" s="1"/>
  <c r="B11" i="15"/>
  <c r="I10" i="15"/>
  <c r="N10" i="15" s="1"/>
  <c r="H10" i="15"/>
  <c r="M10" i="15" s="1"/>
  <c r="G10" i="15"/>
  <c r="F10" i="15"/>
  <c r="E10" i="15"/>
  <c r="C10" i="15"/>
  <c r="D10" i="15" s="1"/>
  <c r="B10" i="15"/>
  <c r="I9" i="15"/>
  <c r="H9" i="15"/>
  <c r="F9" i="15"/>
  <c r="G9" i="15" s="1"/>
  <c r="E9" i="15"/>
  <c r="C9" i="15"/>
  <c r="D9" i="15" s="1"/>
  <c r="B9" i="15"/>
  <c r="I8" i="15"/>
  <c r="N8" i="15" s="1"/>
  <c r="H8" i="15"/>
  <c r="M13" i="15" s="1"/>
  <c r="G8" i="15"/>
  <c r="F8" i="15"/>
  <c r="E8" i="15"/>
  <c r="C8" i="15"/>
  <c r="D8" i="15" s="1"/>
  <c r="B8" i="15"/>
  <c r="N7" i="15"/>
  <c r="I7" i="15"/>
  <c r="H7" i="15"/>
  <c r="F7" i="15"/>
  <c r="G7" i="15" s="1"/>
  <c r="L7" i="15" s="1"/>
  <c r="E7" i="15"/>
  <c r="C7" i="15"/>
  <c r="D7" i="15" s="1"/>
  <c r="B7" i="15"/>
  <c r="I6" i="15"/>
  <c r="N6" i="15" s="1"/>
  <c r="H6" i="15"/>
  <c r="M11" i="15" s="1"/>
  <c r="G6" i="15"/>
  <c r="F6" i="15"/>
  <c r="E6" i="15"/>
  <c r="C6" i="15"/>
  <c r="D6" i="15" s="1"/>
  <c r="B6" i="15"/>
  <c r="N5" i="15"/>
  <c r="M5" i="15"/>
  <c r="I5" i="15"/>
  <c r="H5" i="15"/>
  <c r="F5" i="15"/>
  <c r="G5" i="15" s="1"/>
  <c r="E5" i="15"/>
  <c r="C5" i="15"/>
  <c r="D5" i="15" s="1"/>
  <c r="B5" i="15"/>
  <c r="E19" i="14"/>
  <c r="L18" i="14"/>
  <c r="K18" i="14"/>
  <c r="J18" i="14"/>
  <c r="I18" i="14"/>
  <c r="M18" i="14" s="1"/>
  <c r="H18" i="14"/>
  <c r="G18" i="14"/>
  <c r="F18" i="14"/>
  <c r="E18" i="14"/>
  <c r="D18" i="14"/>
  <c r="C18" i="14"/>
  <c r="L17" i="14"/>
  <c r="K17" i="14"/>
  <c r="M17" i="14" s="1"/>
  <c r="J17" i="14"/>
  <c r="I17" i="14"/>
  <c r="H17" i="14"/>
  <c r="G17" i="14"/>
  <c r="F17" i="14"/>
  <c r="E17" i="14"/>
  <c r="D17" i="14"/>
  <c r="C17" i="14"/>
  <c r="L16" i="14"/>
  <c r="L19" i="14" s="1"/>
  <c r="K16" i="14"/>
  <c r="K19" i="14" s="1"/>
  <c r="J16" i="14"/>
  <c r="J19" i="14" s="1"/>
  <c r="I16" i="14"/>
  <c r="M16" i="14" s="1"/>
  <c r="H16" i="14"/>
  <c r="H19" i="14" s="1"/>
  <c r="G16" i="14"/>
  <c r="G19" i="14" s="1"/>
  <c r="F16" i="14"/>
  <c r="F19" i="14" s="1"/>
  <c r="E16" i="14"/>
  <c r="D16" i="14"/>
  <c r="D19" i="14" s="1"/>
  <c r="C16" i="14"/>
  <c r="C19" i="14" s="1"/>
  <c r="L15" i="14"/>
  <c r="K15" i="14"/>
  <c r="J15" i="14"/>
  <c r="I15" i="14"/>
  <c r="M15" i="14" s="1"/>
  <c r="H15" i="14"/>
  <c r="G15" i="14"/>
  <c r="F15" i="14"/>
  <c r="E15" i="14"/>
  <c r="D15" i="14"/>
  <c r="C15" i="14"/>
  <c r="F11" i="14"/>
  <c r="G11" i="14" s="1"/>
  <c r="E11" i="14"/>
  <c r="C11" i="14"/>
  <c r="D11" i="14" s="1"/>
  <c r="B11" i="14"/>
  <c r="F10" i="14"/>
  <c r="G10" i="14" s="1"/>
  <c r="J10" i="14" s="1"/>
  <c r="E10" i="14"/>
  <c r="C10" i="14"/>
  <c r="D10" i="14" s="1"/>
  <c r="B10" i="14"/>
  <c r="F9" i="14"/>
  <c r="G9" i="14" s="1"/>
  <c r="E9" i="14"/>
  <c r="C9" i="14"/>
  <c r="D9" i="14" s="1"/>
  <c r="B9" i="14"/>
  <c r="F8" i="14"/>
  <c r="G8" i="14" s="1"/>
  <c r="E8" i="14"/>
  <c r="C8" i="14"/>
  <c r="D8" i="14" s="1"/>
  <c r="B8" i="14"/>
  <c r="F7" i="14"/>
  <c r="G7" i="14" s="1"/>
  <c r="E7" i="14"/>
  <c r="C7" i="14"/>
  <c r="D7" i="14" s="1"/>
  <c r="I7" i="14" s="1"/>
  <c r="B7" i="14"/>
  <c r="F6" i="14"/>
  <c r="G6" i="14" s="1"/>
  <c r="J6" i="14" s="1"/>
  <c r="E6" i="14"/>
  <c r="C6" i="14"/>
  <c r="D6" i="14" s="1"/>
  <c r="B6" i="14"/>
  <c r="F5" i="14"/>
  <c r="G5" i="14" s="1"/>
  <c r="E5" i="14"/>
  <c r="C5" i="14"/>
  <c r="D5" i="14" s="1"/>
  <c r="B5" i="14"/>
  <c r="K10" i="13"/>
  <c r="I10" i="13"/>
  <c r="H10" i="13"/>
  <c r="J10" i="13" s="1"/>
  <c r="I9" i="13"/>
  <c r="K9" i="13" s="1"/>
  <c r="H9" i="13"/>
  <c r="J9" i="13" s="1"/>
  <c r="D8" i="13"/>
  <c r="I8" i="13" s="1"/>
  <c r="K8" i="13" s="1"/>
  <c r="C8" i="13"/>
  <c r="H8" i="13" s="1"/>
  <c r="J8" i="13" s="1"/>
  <c r="J7" i="13"/>
  <c r="I7" i="13"/>
  <c r="K7" i="13" s="1"/>
  <c r="H7" i="13"/>
  <c r="D6" i="13"/>
  <c r="I6" i="13" s="1"/>
  <c r="K6" i="13" s="1"/>
  <c r="C6" i="13"/>
  <c r="H6" i="13" s="1"/>
  <c r="J6" i="13" s="1"/>
  <c r="K5" i="13"/>
  <c r="I5" i="13"/>
  <c r="H5" i="13"/>
  <c r="J5" i="13" s="1"/>
  <c r="C30" i="10"/>
  <c r="C29" i="10"/>
  <c r="C28" i="10"/>
  <c r="O14" i="9"/>
  <c r="N14" i="9"/>
  <c r="O13" i="9"/>
  <c r="N13" i="9"/>
  <c r="O12" i="9"/>
  <c r="N12" i="9"/>
  <c r="O11" i="9"/>
  <c r="N11" i="9"/>
  <c r="O10" i="9"/>
  <c r="N10" i="9"/>
  <c r="O9" i="9"/>
  <c r="N9" i="9"/>
  <c r="O8" i="9"/>
  <c r="N8" i="9"/>
  <c r="O7" i="9"/>
  <c r="N7" i="9"/>
  <c r="O6" i="9"/>
  <c r="N6" i="9"/>
  <c r="O5" i="9"/>
  <c r="N5" i="9"/>
  <c r="H16" i="8"/>
  <c r="G16" i="8"/>
  <c r="F16" i="8"/>
  <c r="E16" i="8"/>
  <c r="D16" i="8"/>
  <c r="C16" i="8"/>
  <c r="B16" i="8"/>
  <c r="K15" i="7"/>
  <c r="K14" i="7"/>
  <c r="K13" i="7"/>
  <c r="K12" i="7"/>
  <c r="K11" i="7"/>
  <c r="K10" i="7"/>
  <c r="K9" i="7"/>
  <c r="K8" i="7"/>
  <c r="K7" i="7"/>
  <c r="K6" i="7"/>
  <c r="K5" i="7"/>
  <c r="K29" i="6"/>
  <c r="K28" i="6"/>
  <c r="K27" i="6"/>
  <c r="K26" i="6"/>
  <c r="K25" i="6"/>
  <c r="K24" i="6"/>
  <c r="K23" i="6"/>
  <c r="K22" i="6"/>
  <c r="K21" i="6"/>
  <c r="K20" i="6"/>
  <c r="K19" i="6"/>
  <c r="K15" i="6"/>
  <c r="K14" i="6"/>
  <c r="K13" i="6"/>
  <c r="K12" i="6"/>
  <c r="K11" i="6"/>
  <c r="K10" i="6"/>
  <c r="K9" i="6"/>
  <c r="K8" i="6"/>
  <c r="K7" i="6"/>
  <c r="K6" i="6"/>
  <c r="K5" i="6"/>
  <c r="D67" i="5"/>
  <c r="C67" i="5"/>
  <c r="B67" i="5"/>
  <c r="D66" i="5"/>
  <c r="C66" i="5"/>
  <c r="B66" i="5"/>
  <c r="D65" i="5"/>
  <c r="C65" i="5"/>
  <c r="B65" i="5"/>
  <c r="D64" i="5"/>
  <c r="C64" i="5"/>
  <c r="B64" i="5"/>
  <c r="D63" i="5"/>
  <c r="C63" i="5"/>
  <c r="B63" i="5"/>
  <c r="D62" i="5"/>
  <c r="C62" i="5"/>
  <c r="B62" i="5"/>
  <c r="D61" i="5"/>
  <c r="C61" i="5"/>
  <c r="B61" i="5"/>
  <c r="D60" i="5"/>
  <c r="C60" i="5"/>
  <c r="B60" i="5"/>
  <c r="D59" i="5"/>
  <c r="C59" i="5"/>
  <c r="B59" i="5"/>
  <c r="D58" i="5"/>
  <c r="C58" i="5"/>
  <c r="B58" i="5"/>
  <c r="D57" i="5"/>
  <c r="C57" i="5"/>
  <c r="B57" i="5"/>
  <c r="H40" i="5"/>
  <c r="H39" i="5"/>
  <c r="H38" i="5"/>
  <c r="H37" i="5"/>
  <c r="H36" i="5"/>
  <c r="H35" i="5"/>
  <c r="H34" i="5"/>
  <c r="H33" i="5"/>
  <c r="H32" i="5"/>
  <c r="H31" i="5"/>
  <c r="K15" i="5"/>
  <c r="K14" i="5"/>
  <c r="K13" i="5"/>
  <c r="K12" i="5"/>
  <c r="K11" i="5"/>
  <c r="K10" i="5"/>
  <c r="K9" i="5"/>
  <c r="K8" i="5"/>
  <c r="K7" i="5"/>
  <c r="K6" i="5"/>
  <c r="K5" i="5"/>
  <c r="K50" i="4"/>
  <c r="J50" i="4"/>
  <c r="I50" i="4"/>
  <c r="H50" i="4"/>
  <c r="G50" i="4"/>
  <c r="F50" i="4"/>
  <c r="E50" i="4"/>
  <c r="D50" i="4"/>
  <c r="C50" i="4"/>
  <c r="B50" i="4"/>
  <c r="K49" i="4"/>
  <c r="J49" i="4"/>
  <c r="I49" i="4"/>
  <c r="H49" i="4"/>
  <c r="G49" i="4"/>
  <c r="F49" i="4"/>
  <c r="E49" i="4"/>
  <c r="D49" i="4"/>
  <c r="C49" i="4"/>
  <c r="B49" i="4"/>
  <c r="K48" i="4"/>
  <c r="J48" i="4"/>
  <c r="I48" i="4"/>
  <c r="H48" i="4"/>
  <c r="G48" i="4"/>
  <c r="F48" i="4"/>
  <c r="E48" i="4"/>
  <c r="D48" i="4"/>
  <c r="C48" i="4"/>
  <c r="B48" i="4"/>
  <c r="K47" i="4"/>
  <c r="J47" i="4"/>
  <c r="I47" i="4"/>
  <c r="H47" i="4"/>
  <c r="G47" i="4"/>
  <c r="F47" i="4"/>
  <c r="E47" i="4"/>
  <c r="D47" i="4"/>
  <c r="C47" i="4"/>
  <c r="B47" i="4"/>
  <c r="K46" i="4"/>
  <c r="J46" i="4"/>
  <c r="I46" i="4"/>
  <c r="H46" i="4"/>
  <c r="G46" i="4"/>
  <c r="F46" i="4"/>
  <c r="E46" i="4"/>
  <c r="D46" i="4"/>
  <c r="C46" i="4"/>
  <c r="B46" i="4"/>
  <c r="K45" i="4"/>
  <c r="J45" i="4"/>
  <c r="I45" i="4"/>
  <c r="H45" i="4"/>
  <c r="G45" i="4"/>
  <c r="F45" i="4"/>
  <c r="E45" i="4"/>
  <c r="D45" i="4"/>
  <c r="C45" i="4"/>
  <c r="B45" i="4"/>
  <c r="K44" i="4"/>
  <c r="J44" i="4"/>
  <c r="I44" i="4"/>
  <c r="H44" i="4"/>
  <c r="G44" i="4"/>
  <c r="F44" i="4"/>
  <c r="E44" i="4"/>
  <c r="D44" i="4"/>
  <c r="C44" i="4"/>
  <c r="B44" i="4"/>
  <c r="K43" i="4"/>
  <c r="J43" i="4"/>
  <c r="I43" i="4"/>
  <c r="H43" i="4"/>
  <c r="G43" i="4"/>
  <c r="F43" i="4"/>
  <c r="E43" i="4"/>
  <c r="D43" i="4"/>
  <c r="C43" i="4"/>
  <c r="B43" i="4"/>
  <c r="K42" i="4"/>
  <c r="J42" i="4"/>
  <c r="I42" i="4"/>
  <c r="H42" i="4"/>
  <c r="G42" i="4"/>
  <c r="F42" i="4"/>
  <c r="E42" i="4"/>
  <c r="D42" i="4"/>
  <c r="C42" i="4"/>
  <c r="B42" i="4"/>
  <c r="K41" i="4"/>
  <c r="J41" i="4"/>
  <c r="I41" i="4"/>
  <c r="H41" i="4"/>
  <c r="G41" i="4"/>
  <c r="F41" i="4"/>
  <c r="E41" i="4"/>
  <c r="D41" i="4"/>
  <c r="C41" i="4"/>
  <c r="B41" i="4"/>
  <c r="F54" i="3"/>
  <c r="E54" i="3"/>
  <c r="D54" i="3"/>
  <c r="G54" i="3" s="1"/>
  <c r="C54" i="3"/>
  <c r="B54" i="3"/>
  <c r="F53" i="3"/>
  <c r="E53" i="3"/>
  <c r="D53" i="3"/>
  <c r="C53" i="3"/>
  <c r="B53" i="3"/>
  <c r="G53" i="3" s="1"/>
  <c r="F52" i="3"/>
  <c r="E52" i="3"/>
  <c r="D52" i="3"/>
  <c r="C52" i="3"/>
  <c r="B52" i="3"/>
  <c r="G52" i="3" s="1"/>
  <c r="F51" i="3"/>
  <c r="G51" i="3" s="1"/>
  <c r="E51" i="3"/>
  <c r="D51" i="3"/>
  <c r="C51" i="3"/>
  <c r="B51" i="3"/>
  <c r="F50" i="3"/>
  <c r="E50" i="3"/>
  <c r="D50" i="3"/>
  <c r="G50" i="3" s="1"/>
  <c r="C50" i="3"/>
  <c r="B50" i="3"/>
  <c r="F49" i="3"/>
  <c r="E49" i="3"/>
  <c r="D49" i="3"/>
  <c r="C49" i="3"/>
  <c r="B49" i="3"/>
  <c r="G49" i="3" s="1"/>
  <c r="F48" i="3"/>
  <c r="E48" i="3"/>
  <c r="D48" i="3"/>
  <c r="C48" i="3"/>
  <c r="B48" i="3"/>
  <c r="G48" i="3" s="1"/>
  <c r="F47" i="3"/>
  <c r="G47" i="3" s="1"/>
  <c r="E47" i="3"/>
  <c r="D47" i="3"/>
  <c r="C47" i="3"/>
  <c r="B47" i="3"/>
  <c r="F46" i="3"/>
  <c r="E46" i="3"/>
  <c r="D46" i="3"/>
  <c r="G46" i="3" s="1"/>
  <c r="C46" i="3"/>
  <c r="B46" i="3"/>
  <c r="F45" i="3"/>
  <c r="E45" i="3"/>
  <c r="D45" i="3"/>
  <c r="C45" i="3"/>
  <c r="B45" i="3"/>
  <c r="G45" i="3" s="1"/>
  <c r="F44" i="3"/>
  <c r="E44" i="3"/>
  <c r="D44" i="3"/>
  <c r="C44" i="3"/>
  <c r="B44" i="3"/>
  <c r="G44" i="3" s="1"/>
  <c r="G15" i="3"/>
  <c r="G14" i="3"/>
  <c r="G13" i="3"/>
  <c r="G12" i="3"/>
  <c r="G11" i="3"/>
  <c r="G10" i="3"/>
  <c r="G9" i="3"/>
  <c r="G8" i="3"/>
  <c r="G7" i="3"/>
  <c r="G6" i="3"/>
  <c r="G5" i="3"/>
  <c r="K5" i="15" l="1"/>
  <c r="K10" i="15"/>
  <c r="I8" i="14"/>
  <c r="K13" i="15"/>
  <c r="K6" i="15"/>
  <c r="L13" i="15"/>
  <c r="F57" i="17"/>
  <c r="K57" i="17" s="1"/>
  <c r="E57" i="17"/>
  <c r="J57" i="17" s="1"/>
  <c r="J8" i="14"/>
  <c r="L8" i="15"/>
  <c r="F52" i="17"/>
  <c r="K52" i="17" s="1"/>
  <c r="E52" i="17"/>
  <c r="J52" i="17" s="1"/>
  <c r="L12" i="15"/>
  <c r="F56" i="17"/>
  <c r="K56" i="17" s="1"/>
  <c r="E56" i="17"/>
  <c r="J56" i="17" s="1"/>
  <c r="J11" i="14"/>
  <c r="L6" i="15"/>
  <c r="F58" i="17"/>
  <c r="K58" i="17" s="1"/>
  <c r="E58" i="17"/>
  <c r="L11" i="15"/>
  <c r="F53" i="17"/>
  <c r="K53" i="17" s="1"/>
  <c r="E53" i="17"/>
  <c r="J53" i="17" s="1"/>
  <c r="J5" i="14"/>
  <c r="J9" i="14"/>
  <c r="K9" i="15"/>
  <c r="K14" i="15"/>
  <c r="L5" i="15"/>
  <c r="F55" i="17"/>
  <c r="K55" i="17" s="1"/>
  <c r="E55" i="17"/>
  <c r="J55" i="17" s="1"/>
  <c r="I11" i="14"/>
  <c r="K8" i="15"/>
  <c r="K11" i="15"/>
  <c r="I5" i="14"/>
  <c r="F59" i="17"/>
  <c r="K59" i="17" s="1"/>
  <c r="E59" i="17"/>
  <c r="J59" i="17" s="1"/>
  <c r="J7" i="14"/>
  <c r="L10" i="15"/>
  <c r="I9" i="14"/>
  <c r="I6" i="14"/>
  <c r="I10" i="14"/>
  <c r="K7" i="15"/>
  <c r="L9" i="15"/>
  <c r="F54" i="17"/>
  <c r="K54" i="17" s="1"/>
  <c r="E54" i="17"/>
  <c r="J54" i="17" s="1"/>
  <c r="B38" i="17"/>
  <c r="B46" i="17" s="1"/>
  <c r="C38" i="17"/>
  <c r="C46" i="17" s="1"/>
  <c r="N9" i="15"/>
  <c r="N13" i="15"/>
  <c r="I19" i="14"/>
  <c r="M8" i="15"/>
  <c r="B31" i="17"/>
  <c r="B39" i="17"/>
  <c r="B47" i="17" s="1"/>
  <c r="C31" i="17"/>
  <c r="C39" i="17"/>
  <c r="C47" i="17" s="1"/>
  <c r="M6" i="15"/>
  <c r="B27" i="17"/>
  <c r="M9" i="15"/>
  <c r="M7" i="15"/>
  <c r="N11" i="15"/>
  <c r="B28" i="17" l="1"/>
  <c r="B29" i="17" s="1"/>
  <c r="C27" i="17"/>
  <c r="C28" i="17" s="1"/>
  <c r="C29" i="17" s="1"/>
  <c r="C45" i="17"/>
  <c r="C33" i="17"/>
  <c r="C34" i="17" s="1"/>
  <c r="B45" i="17"/>
  <c r="B33" i="17"/>
  <c r="B34" i="17" s="1"/>
  <c r="D12" i="14"/>
  <c r="D16" i="15"/>
  <c r="D18" i="15"/>
  <c r="D17" i="15"/>
  <c r="C44" i="17" l="1"/>
  <c r="C48" i="17"/>
  <c r="C30" i="17"/>
  <c r="B48" i="17"/>
  <c r="B44" i="17"/>
  <c r="B30" i="17"/>
</calcChain>
</file>

<file path=xl/sharedStrings.xml><?xml version="1.0" encoding="utf-8"?>
<sst xmlns="http://schemas.openxmlformats.org/spreadsheetml/2006/main" count="5158" uniqueCount="708">
  <si>
    <t>NeerNexus Stage 2 dataset: E20, crops, groundwater, rainfall and prices</t>
  </si>
  <si>
    <t>Purpose</t>
  </si>
  <si>
    <t>Data for testing H1-H5 (see Stage 1 doc). Every number traces to the Source_Log tab.</t>
  </si>
  <si>
    <t>States</t>
  </si>
  <si>
    <t>Bihar, Haryana, Karnataka, Madhya Pradesh, Maharashtra, Punjab, Rajasthan, Tamil Nadu, Telangana, Uttar Pradesh, plus All India.</t>
  </si>
  <si>
    <t>Period</t>
  </si>
  <si>
    <t>2015-16 to 2024-25 where available. Groundwater stage of extraction only exists for 2017, 2020, 2022, 2023, 2024 (CGWB).</t>
  </si>
  <si>
    <t>Accessed</t>
  </si>
  <si>
    <t>All sources opened on 25 Oct 2026.</t>
  </si>
  <si>
    <t>Formulas</t>
  </si>
  <si>
    <t>Cells in black on white with a formula recompute (growth rates, cross-checks). Yellow cells mark gaps still to fill.</t>
  </si>
  <si>
    <t>Status</t>
  </si>
  <si>
    <t>Collected: groundwater, state crop area and production 2016-17 to 2025-26 for maize (by season), rice, sugarcane, wheat, jowar, bajra, ragi (UPAg), national production, MSP/FRP, monsoon rainfall (7 of 10 years), national ethanol series.</t>
  </si>
  <si>
    <t>Analysis</t>
  </si>
  <si>
    <t>Stage 3 tabs: Analysis_H1 (ethanol share of crops), Analysis_H2H3 (MSP vs output), Analysis_H4 (crop expansion vs groundwater, rank correlations), Analysis_Water (embedded water scenarios). Stage 4 tab: Analysis_Stage4 (new groundwater from irrigated maize, cost per litre, state distribution, summer-maize policy scenario). All computed with formulas.</t>
  </si>
  <si>
    <t>Missing: groundwater use split by state, water levels, 3 rainfall years, irrigated area by source. See Gaps tab.</t>
  </si>
  <si>
    <t>Conflicts</t>
  </si>
  <si>
    <t>Where two credible sources disagree, both are kept and flagged in a Note column; see Source_Log.</t>
  </si>
  <si>
    <t>Units</t>
  </si>
  <si>
    <t>Area: thousand hectares ('000 ha) unless stated. Production: thousand tonnes ('000 t) unless stated. Water: billion cubic metres (bcm). Rainfall: mm. Prices: Rs per quintal or Rs per litre.</t>
  </si>
  <si>
    <t>State</t>
  </si>
  <si>
    <t>Crop</t>
  </si>
  <si>
    <t>Season</t>
  </si>
  <si>
    <t>Year</t>
  </si>
  <si>
    <t>Area (lakh ha)</t>
  </si>
  <si>
    <t>Production (lakh t)</t>
  </si>
  <si>
    <t>Bihar</t>
  </si>
  <si>
    <t>Maize</t>
  </si>
  <si>
    <t>Kharif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</si>
  <si>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</si>
  <si>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</si>
  <si>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</si>
  <si>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</si>
  <si>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</si>
  <si>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</si>
  <si>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</si>
  <si>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</si>
  <si>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</si>
  <si>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</si>
  <si>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Rabi</t>
  </si>
  <si>
    <t>Summer</t>
  </si>
  <si>
    <t>Total</t>
  </si>
  <si>
    <t>Rice</t>
  </si>
  <si>
    <t>Wheat</t>
  </si>
  <si>
    <t>Jowar</t>
  </si>
  <si>
    <t>Bajra</t>
  </si>
  <si>
    <t>Ragi</t>
  </si>
  <si>
    <t>Sugarcane</t>
  </si>
  <si>
    <t>Haryana</t>
  </si>
  <si>
    <t>Karnataka</t>
  </si>
  <si>
    <t>Madhya Pradesh</t>
  </si>
  <si>
    <t>Maharashtra</t>
  </si>
  <si>
    <t>Punjab</t>
  </si>
  <si>
    <t>Rajasthan</t>
  </si>
  <si>
    <t>Tamil Nadu</t>
  </si>
  <si>
    <t>Telangana</t>
  </si>
  <si>
    <t>Uttar Pradesh</t>
  </si>
  <si>
    <t>All India</t>
  </si>
  <si>
    <t>Source: UPAg State Profile: Crop-wise APY (DA&amp;FW / DES), read 25 Oct 2026. 2025-26 = 3rd advance estimate. Summer season reported separately from 2022-23.</t>
  </si>
  <si>
    <t>Stage of groundwater extraction by state</t>
  </si>
  <si>
    <t>Stage (%) = annual extraction / annual extractable resource. Safe &lt;=70, semi-critical 70-90, critical 90-100, over-exploited &gt;100.</t>
  </si>
  <si>
    <t>Stage of extraction (%), as printed</t>
  </si>
  <si>
    <t>2017</t>
  </si>
  <si>
    <t>2020</t>
  </si>
  <si>
    <t>2022</t>
  </si>
  <si>
    <t>2023</t>
  </si>
  <si>
    <t>2024</t>
  </si>
  <si>
    <t>Change 2017-2024 (pp)</t>
  </si>
  <si>
    <t>Annual extraction (bcm)</t>
  </si>
  <si>
    <t>Annual extractable resource (bcm)</t>
  </si>
  <si>
    <t>Cross-check: computed stage (%)</t>
  </si>
  <si>
    <t>Max gap vs printed (pp)</t>
  </si>
  <si>
    <t>Source: RBI Handbook of Statistics on Indian States 2024-25, Table 107 (11 Dec 2025), compiling CGWB National Compilations on Dynamic Ground Water Resources.</t>
  </si>
  <si>
    <t>Conflict: Punjab 2022 printed as 165.99% by RBI; CGWB's Punjab 2024 report gives 164.11% for 2022, which matches 28.02/17.07. Use 164.11 in analysis.</t>
  </si>
  <si>
    <t>Check: 2017 and 2020 extraction totals match Lok Sabha AU3018 (sansad) exactly.</t>
  </si>
  <si>
    <t>Gap: 2025 state values (national 60.63%) and the irrigation / industrial / domestic split are not yet collected. See Gaps tab.</t>
  </si>
  <si>
    <t>Southwest monsoon rainfall (June-September) by state</t>
  </si>
  <si>
    <t>Actual and normal in mm; departure (%) = actual/normal - 1. Normals change slightly between IMD reports.</t>
  </si>
  <si>
    <t>Departure from normal (%), as printed</t>
  </si>
  <si>
    <t>2015</t>
  </si>
  <si>
    <t>2016</t>
  </si>
  <si>
    <t>2018</t>
  </si>
  <si>
    <t>2019</t>
  </si>
  <si>
    <t>2021</t>
  </si>
  <si>
    <t>Actual rainfall (mm)</t>
  </si>
  <si>
    <t>Normal rainfall (mm)</t>
  </si>
  <si>
    <t>Cross-check: computed departure</t>
  </si>
  <si>
    <t>Sources: MoES / IMD Parliament answers: Lok Sabha US 4446 (14 Dec 2016) for 2015-16; Rajya Sabha 165 (3 Aug 2021) for 2018-19; Rajya Sabha 25 (27 Jul 2023) for 2020-22.</t>
  </si>
  <si>
    <t>The 2020 rows in RS 165 are misaligned in the source; 2020 is taken from the 2023 answer instead.</t>
  </si>
  <si>
    <t>Gap (yellow): 2017, 2023, 2024 not yet found in an official state-level table.</t>
  </si>
  <si>
    <t>Sugarcane area and production by state</t>
  </si>
  <si>
    <t>Area ('000 ha), RBI T80</t>
  </si>
  <si>
    <t>2014-15</t>
  </si>
  <si>
    <t>2015-16</t>
  </si>
  <si>
    <t>Change 2015-16 to 2022-23</t>
  </si>
  <si>
    <t>Source: RBI Handbook 2023, Table 80 (Ministry of Agriculture). 2022-23 = 3rd advance estimate (later revised, e.g. UP 2,795 in ICAR table).</t>
  </si>
  <si>
    <t>Area (lakh ha), ICAR-SBI</t>
  </si>
  <si>
    <t>Production (million t), ICAR-SBI</t>
  </si>
  <si>
    <t>Change 2018-19 to 2023-24</t>
  </si>
  <si>
    <t>Source: ICAR-Sugarcane Breeding Institute, StatisticsAPY-23-24 (citing DES / E&amp;S DAC); 2023-24 = 2nd advance estimate. Rajasthan not listed.</t>
  </si>
  <si>
    <t>Yield (kg/ha), Lok Sabha AU1760</t>
  </si>
  <si>
    <t>Production (million t) = area x yield</t>
  </si>
  <si>
    <t>Yield source: Lok Sabha AU1760 (2 Jul 2019), Ministry of Agriculture. Production computed here; area from RBI T80.</t>
  </si>
  <si>
    <t>Rice area and production by state</t>
  </si>
  <si>
    <t>Area ('000 ha), RBI T69</t>
  </si>
  <si>
    <t>Source: RBI Handbook 2023, Table 69 (Ministry of Agriculture). 2022-23 = 3rd advance estimate.</t>
  </si>
  <si>
    <t>Production ('000 t), RBI T60</t>
  </si>
  <si>
    <t>Source: RBI Handbook 2023, Table 60 (Ministry of Agriculture). Gap: 2023-24 and 2024-25 state values.</t>
  </si>
  <si>
    <t>Coarse cereals area by state (maize + jowar + bajra + ragi + small millets + barley)</t>
  </si>
  <si>
    <t>Maize cannot be separated from millets in this table; state maize data is in the Gaps tab.</t>
  </si>
  <si>
    <t>Area ('000 ha), RBI T71</t>
  </si>
  <si>
    <t>Source: RBI Handbook 2023, Table 71 (Ministry of Agriculture). 2022-23 = 3rd advance estimate.</t>
  </si>
  <si>
    <t>All-India production by crop (lakh tonnes)</t>
  </si>
  <si>
    <t>Ragi = kharif only. 2025-26 = 3rd advance estimate.</t>
  </si>
  <si>
    <t>final</t>
  </si>
  <si>
    <t>3rd AE</t>
  </si>
  <si>
    <t>Change 2015-16 to 2024-25</t>
  </si>
  <si>
    <t>Source: DES, Ministry of Agriculture, Time Series of 3rd Advance Estimates 2025-26 (as on 27 May 2026).</t>
  </si>
  <si>
    <t>Minimum support prices and sugarcane FRP (Rs per quintal)</t>
  </si>
  <si>
    <t>Kharif crops by marketing season; wheat by crop year (marketed in the following rabi season); FRP by sugar season.</t>
  </si>
  <si>
    <t>Basis</t>
  </si>
  <si>
    <t>Step-up 2018-19 vs 2017-18</t>
  </si>
  <si>
    <t>Paddy (common)</t>
  </si>
  <si>
    <t>KMS</t>
  </si>
  <si>
    <t>Jowar (hybrid)</t>
  </si>
  <si>
    <t>Tur (arhar)</t>
  </si>
  <si>
    <t>Moong</t>
  </si>
  <si>
    <t>Urad</t>
  </si>
  <si>
    <t>crop year (RMS = next year)</t>
  </si>
  <si>
    <t>Sugarcane FRP</t>
  </si>
  <si>
    <t>sugar season</t>
  </si>
  <si>
    <t>FRP base recovery %</t>
  </si>
  <si>
    <t>FRP is fixed for a base recovery rate that rose from 9.5% to 10% (2018-19) and 10.25% (2022-23). At 9.5% recovery the 2024-25 floor was Rs 315.10, a 37.0% rise on 2015-16, not 47.8%.</t>
  </si>
  <si>
    <t>Sources: DES MSP statement (12 Dec 2025) for 2021-22 onward; CACP/Government MSP compilation (S.P. University copy) for 2015-16 to 2020-21; FRP base rates from Cabinet decisions (see Source_Log).</t>
  </si>
  <si>
    <t>National ethanol series (ethanol supply years)</t>
  </si>
  <si>
    <t>ESY ran Dec-Nov until 2021-22, then Nov-Oct. Blended and supplied volumes are different measures.</t>
  </si>
  <si>
    <t>ESY</t>
  </si>
  <si>
    <t>Blended (crore L)</t>
  </si>
  <si>
    <t>Blending %</t>
  </si>
  <si>
    <t>Supplied (crore L)</t>
  </si>
  <si>
    <t>Source</t>
  </si>
  <si>
    <t>Note</t>
  </si>
  <si>
    <t>2013-14</t>
  </si>
  <si>
    <t>Lok Sabha AU2832 (8 Aug 2024)</t>
  </si>
  <si>
    <t>MoPNG website (Ethanol Blended Petrol page)</t>
  </si>
  <si>
    <t>not found in an official source yet</t>
  </si>
  <si>
    <t>Lok Sabha reply (via Indian Chemical News 9 Aug 2024)</t>
  </si>
  <si>
    <t>Dataful (MoPNG) shows 332 crore L / 8.5%</t>
  </si>
  <si>
    <t>Dataful dataset 21604 (MoPNG); 10% reached Jun 2022 per MoPNG</t>
  </si>
  <si>
    <t>Lok Sabha AU2832 (12.06%); volume Dataful 21604</t>
  </si>
  <si>
    <t>11-month year (Dec-Oct)</t>
  </si>
  <si>
    <t>Blending %: MoPNG (iamrenew 18 Apr 2025); blended volume: Dataful 21604; supplied: Indian Express Oct 2025</t>
  </si>
  <si>
    <t>blended vs supplied differ</t>
  </si>
  <si>
    <t>PPAC via BioEnergy Times 20 Nov 2025 (blended); AIDA via Outlook Business 20 Feb 2026 (supplied)</t>
  </si>
  <si>
    <t>20% first reached Oct 2025</t>
  </si>
  <si>
    <t>Feedstock</t>
  </si>
  <si>
    <t>Value</t>
  </si>
  <si>
    <t>Unit</t>
  </si>
  <si>
    <t>Total supplied</t>
  </si>
  <si>
    <t>crore L</t>
  </si>
  <si>
    <t>Indian Express (Oct 2025) via Vision IAS</t>
  </si>
  <si>
    <t>Grain-based</t>
  </si>
  <si>
    <t xml:space="preserve">  of which maize</t>
  </si>
  <si>
    <t xml:space="preserve">  of which broken/damaged grain</t>
  </si>
  <si>
    <t>Sugarcane-based</t>
  </si>
  <si>
    <t>Maize share</t>
  </si>
  <si>
    <t>%</t>
  </si>
  <si>
    <t>Down To Earth 14 Aug 2025</t>
  </si>
  <si>
    <t>AIDA via Outlook Business 20 Feb 2026</t>
  </si>
  <si>
    <t>48-51</t>
  </si>
  <si>
    <t>Rajya Sabha reply MoS Petroleum 20 Jul 2026 (ANI)</t>
  </si>
  <si>
    <t>~37</t>
  </si>
  <si>
    <t>Sugar diversion cap</t>
  </si>
  <si>
    <t>million t</t>
  </si>
  <si>
    <t>DFPD directive 15 Dec 2023 via Argus Media</t>
  </si>
  <si>
    <t>Grain share 2023-24 (computed)</t>
  </si>
  <si>
    <t>Grain share 2024-25 (computed)</t>
  </si>
  <si>
    <t>Maize share 2023-24 (computed)</t>
  </si>
  <si>
    <t>Price</t>
  </si>
  <si>
    <t>C-heavy molasses</t>
  </si>
  <si>
    <t>Rs per L</t>
  </si>
  <si>
    <t>CCEA decision Jan 2025 (Khan Global summary)</t>
  </si>
  <si>
    <t>B-heavy molasses</t>
  </si>
  <si>
    <t>Cane juice / sugar / syrup</t>
  </si>
  <si>
    <t>Maize (from 22 Aug 2023)</t>
  </si>
  <si>
    <t>Lok Sabha AU755 (7 Feb 2024)</t>
  </si>
  <si>
    <t>FCI rice to distilleries</t>
  </si>
  <si>
    <t>Rs per quintal</t>
  </si>
  <si>
    <t>Policy Circle (28 Jul 2023)</t>
  </si>
  <si>
    <t>Dec 2020</t>
  </si>
  <si>
    <t>2024-25 (before Jan 2025)</t>
  </si>
  <si>
    <t>FCI rice reserve price</t>
  </si>
  <si>
    <t>iamrenew (21 Jan 2025)</t>
  </si>
  <si>
    <t>2024-25 (from Jan 2025)</t>
  </si>
  <si>
    <t>Item</t>
  </si>
  <si>
    <t>Forex saved</t>
  </si>
  <si>
    <t>ESY 2018-19</t>
  </si>
  <si>
    <t>Rs crore</t>
  </si>
  <si>
    <t>ESY 2019-20</t>
  </si>
  <si>
    <t>ESY 2020-21</t>
  </si>
  <si>
    <t>ESY 2021-22</t>
  </si>
  <si>
    <t>ESY 2022-23</t>
  </si>
  <si>
    <t>FCI rice sold to distilleries (cumulative)</t>
  </si>
  <si>
    <t>Dec 2020 to Jul 2023</t>
  </si>
  <si>
    <t>&gt;24</t>
  </si>
  <si>
    <t>lakh t</t>
  </si>
  <si>
    <t>FCI rice cap for distilleries</t>
  </si>
  <si>
    <t>Aug-Oct 2024</t>
  </si>
  <si>
    <t>Deccan Herald / PTI (29 Aug 2024)</t>
  </si>
  <si>
    <t>ESY 2024-25</t>
  </si>
  <si>
    <t>Grain distilleries (number)</t>
  </si>
  <si>
    <t>Dec 2023</t>
  </si>
  <si>
    <t>count</t>
  </si>
  <si>
    <t>Lok Sabha AU632 (6 Dec 2023)</t>
  </si>
  <si>
    <t>Grain distillery capacity</t>
  </si>
  <si>
    <t>crore L per year</t>
  </si>
  <si>
    <t>Ethanol demand projection</t>
  </si>
  <si>
    <t>NITI Aayog roadmap (Jun 2021)</t>
  </si>
  <si>
    <t>Capacity needed</t>
  </si>
  <si>
    <t>1500 (740 grain / 760 sugar)</t>
  </si>
  <si>
    <t>Water per L of sugar-based ethanol (roadmap)</t>
  </si>
  <si>
    <t>-</t>
  </si>
  <si>
    <t>L water per L</t>
  </si>
  <si>
    <t>NITI Aayog roadmap via PRS</t>
  </si>
  <si>
    <t>Process water in distillery</t>
  </si>
  <si>
    <t>3-5</t>
  </si>
  <si>
    <t>MoPNG / Rajya Sabha 20 Jul 2026</t>
  </si>
  <si>
    <t>Ethanol yield from rice</t>
  </si>
  <si>
    <t>~470</t>
  </si>
  <si>
    <t>L per t</t>
  </si>
  <si>
    <t>Kisan Tak report via National Herald (Apr 2026)</t>
  </si>
  <si>
    <t>Ethanol yield from cane juice</t>
  </si>
  <si>
    <t>70-81</t>
  </si>
  <si>
    <t>L per t cane</t>
  </si>
  <si>
    <t>Jha et al. 2026 PLOS ONE (citing empirical estimates)</t>
  </si>
  <si>
    <t>Social cost of carbon (global median)</t>
  </si>
  <si>
    <t>417 (177-805)</t>
  </si>
  <si>
    <t>US$ per t CO2</t>
  </si>
  <si>
    <t>Ricke et al. 2018 Nature Climate Change</t>
  </si>
  <si>
    <t>Conflicts kept: 2020-21 blended 302.3 crore L / 8.17% (Lok Sabha) vs 332 / 8.5% (Dataful); maize share 2024-25 48-51% (AIDA) vs ~37% for 2025-26 (Rajya Sabha).</t>
  </si>
  <si>
    <t>Source log</t>
  </si>
  <si>
    <t>Every source was opened and checked on 25 Oct 2026. Type: Official / Official via media / Compiled official / Institutional / Media.</t>
  </si>
  <si>
    <t>Tab</t>
  </si>
  <si>
    <t>Data</t>
  </si>
  <si>
    <t>Document / table</t>
  </si>
  <si>
    <t>Original agency</t>
  </si>
  <si>
    <t>Type</t>
  </si>
  <si>
    <t>URL</t>
  </si>
  <si>
    <t>Groundwater</t>
  </si>
  <si>
    <t>Stage of extraction, extraction, resource 2017-2024</t>
  </si>
  <si>
    <t>RBI Handbook 2024-25, Table 107 (11 Dec 2025)</t>
  </si>
  <si>
    <t>CGWB, Ministry of Jal Shakti</t>
  </si>
  <si>
    <t>Compiled official</t>
  </si>
  <si>
    <t>https://rbi.org.in/ScriptS/PublicationsView.aspx?id=23556</t>
  </si>
  <si>
    <t>Punjab 2022 conflict noted</t>
  </si>
  <si>
    <t>Punjab 2017-2024 stage of extraction</t>
  </si>
  <si>
    <t>Dynamic Ground Water Resources &amp; Quality of Punjab, 2024</t>
  </si>
  <si>
    <t>CGWB</t>
  </si>
  <si>
    <t>Official</t>
  </si>
  <si>
    <t>https://cgwb.gov.in/cgwbpnm/public/uploads/documents/1742295732461871757file.pdf</t>
  </si>
  <si>
    <t>Used for Punjab 2022 correction</t>
  </si>
  <si>
    <t>2017 and 2020 extraction totals (cross-check)</t>
  </si>
  <si>
    <t>Lok Sabha AU3018</t>
  </si>
  <si>
    <t>Ministry of Jal Shakti</t>
  </si>
  <si>
    <t>https://eparlib.sansad.in/bitstream/123456789/1059876/1/AU3018.pdf</t>
  </si>
  <si>
    <t>Matches RBI exactly</t>
  </si>
  <si>
    <t>Bihar 2024 extraction by use (10.21 irrigation of 14.09 bcm)</t>
  </si>
  <si>
    <t>Dynamic Ground Water Resources of Bihar, 2024</t>
  </si>
  <si>
    <t>CGWB / Govt of Bihar</t>
  </si>
  <si>
    <t>https://www.cgwb.gov.in/cgwbpnm/public/uploads/documents/1743584819841710360file.pdf</t>
  </si>
  <si>
    <t>Example of state split; others pending</t>
  </si>
  <si>
    <t>Rainfall</t>
  </si>
  <si>
    <t>Monsoon rainfall 2013-2016</t>
  </si>
  <si>
    <t>Lok Sabha US 4446 (14 Dec 2016)</t>
  </si>
  <si>
    <t>MoES / IMD</t>
  </si>
  <si>
    <t>https://moes.gov.in/sites/default/files/LS_US_4446_14122016.pdf</t>
  </si>
  <si>
    <t>2015, 2016 used</t>
  </si>
  <si>
    <t>Monsoon and annual rainfall 2018-2020</t>
  </si>
  <si>
    <t>Rajya Sabha 165 (3 Aug 2021)</t>
  </si>
  <si>
    <t>https://www.moes.gov.in/sites/default/files/RS-English-165-03082021.pdf</t>
  </si>
  <si>
    <t>2020 rows misaligned; not used</t>
  </si>
  <si>
    <t>Monsoon rainfall 2020-2022</t>
  </si>
  <si>
    <t>Rajya Sabha 25 (27 Jul 2023)</t>
  </si>
  <si>
    <t>https://www.moes.gov.in/sites/default/files/RS-in-25-27-07-2023.pdf</t>
  </si>
  <si>
    <t>Area 2014-15 to 2022-23</t>
  </si>
  <si>
    <t>RBI Handbook 2023, Table 80</t>
  </si>
  <si>
    <t>Ministry of Agriculture</t>
  </si>
  <si>
    <t>https://rbi.org.in/Scripts/PublicationsView.aspx?id=22144</t>
  </si>
  <si>
    <t>Area, production, yield 2018-19 to 2023-24</t>
  </si>
  <si>
    <t>State-wise APY of sugarcane (StatisticsAPY-23-24)</t>
  </si>
  <si>
    <t>ICAR-SBI citing DES</t>
  </si>
  <si>
    <t>https://sugarcane.icar.gov.in/wp-content/uploads/2024/08/StatisticsAPY-23-24.pdf</t>
  </si>
  <si>
    <t>2023-24 = 2nd AE</t>
  </si>
  <si>
    <t>Yield 2015-16 to 2018-19</t>
  </si>
  <si>
    <t>Lok Sabha AU1760 (2 Jul 2019)</t>
  </si>
  <si>
    <t>https://eparlib.nic.in/bitstream/123456789/951428/1/AU1760.pdf</t>
  </si>
  <si>
    <t>Area 2013-14 to 2017-18 (cross-check)</t>
  </si>
  <si>
    <t>Lok Sabha AU443 (5 Feb 2019)</t>
  </si>
  <si>
    <t>https://eparlib.nic.in/bitstream/123456789/806271/1/AU443.pdf</t>
  </si>
  <si>
    <t>Matches RBI T80</t>
  </si>
  <si>
    <t>UPAg_crops</t>
  </si>
  <si>
    <t>State area and production by crop and season, 2016-17 to 2025-26</t>
  </si>
  <si>
    <t>UPAg State Profile: Crop-wise APY (dash.upag.gov.in/stateprofile)</t>
  </si>
  <si>
    <t>DA&amp;FW / DES, Ministry of Agriculture</t>
  </si>
  <si>
    <t>https://upag.gov.in/dash-reports/stateprofile</t>
  </si>
  <si>
    <t>Read via browser; 2025-26 = 3rd advance estimate; All India matches DES time series</t>
  </si>
  <si>
    <t>Area 2004-05 to 2022-23</t>
  </si>
  <si>
    <t>RBI Handbook 2023, Table 69</t>
  </si>
  <si>
    <t>https://www.rbi.org.in/Scripts/PublicationsView.aspx?id=22133</t>
  </si>
  <si>
    <t>Production 2014-15 to 2022-23</t>
  </si>
  <si>
    <t>RBI Handbook 2023, Table 60</t>
  </si>
  <si>
    <t>https://www.rbi.org.in/Scripts/PublicationsView.aspx?id=22124</t>
  </si>
  <si>
    <t>Coarse_cereals</t>
  </si>
  <si>
    <t>RBI Handbook 2023, Table 71</t>
  </si>
  <si>
    <t>https://rbi.org.in/scriptS/PublicationsView.aspx?id=22135</t>
  </si>
  <si>
    <t>National_production</t>
  </si>
  <si>
    <t>All-India production 2015-16 to 2025-26</t>
  </si>
  <si>
    <t>Time Series, 3rd Advance Estimates 2025-26</t>
  </si>
  <si>
    <t>DES, Ministry of Agriculture</t>
  </si>
  <si>
    <t>https://desagri.gov.in/wp-content/uploads/2026/06/Time-Series-3rd-AE-2025-26-English.pdf</t>
  </si>
  <si>
    <t>MSP_FRP</t>
  </si>
  <si>
    <t>MSP 2021-22 to 2025-26</t>
  </si>
  <si>
    <t>MSP statement as on 12 Dec 2025</t>
  </si>
  <si>
    <t>DES / CACP</t>
  </si>
  <si>
    <t>https://desagri.gov.in/wp-content/uploads/2025/12/MSP-Statement_English_As-on-12.12.2025.pdf</t>
  </si>
  <si>
    <t>MSP and FRP 2012-13 to 2021-22</t>
  </si>
  <si>
    <t>MSP recommended by CACP and fixed by Government</t>
  </si>
  <si>
    <t>CACP / Government of India</t>
  </si>
  <si>
    <t>https://www.spuvvn.edu/academic_centres/c_c_s/MSP_SINCE_2012_13.pdf</t>
  </si>
  <si>
    <t>Matches DES for overlapping 2021-22</t>
  </si>
  <si>
    <t>FRP 2015-16 at 9.5% recovery</t>
  </si>
  <si>
    <t>Cabinet decision, 16 Jan 2015 (report)</t>
  </si>
  <si>
    <t>CCEA</t>
  </si>
  <si>
    <t>Official via media</t>
  </si>
  <si>
    <t>https://www.ap7am.com/en/6592/centre-raises-sugarcane-price-to-rs230-per-quintal</t>
  </si>
  <si>
    <t>FRP 2017-18 at 9.5% recovery</t>
  </si>
  <si>
    <t>Cabinet decision, 24 May 2017 (report)</t>
  </si>
  <si>
    <t>https://www.millenniumpost.in/nation/nation-243599</t>
  </si>
  <si>
    <t>FRP 2018-19 to 2022-23 base rates (10%, then 10.25%)</t>
  </si>
  <si>
    <t>Business Standard topic page, Cabinet decisions</t>
  </si>
  <si>
    <t>https://www.business-standard.com/topic/sugarcane-frp</t>
  </si>
  <si>
    <t>FRP 2024-25 Rs 340 at 10.25%; Rs 315.10 at 9.5%</t>
  </si>
  <si>
    <t>Cabinet decision Feb 2024</t>
  </si>
  <si>
    <t>https://www.narendramodi.in/cabinet-approves-frp-of-sugarcane-payable-by-sugar-factories-for-sugar-season-2024-25</t>
  </si>
  <si>
    <t>FRP 2025-26 Rs 355 at 10.25%</t>
  </si>
  <si>
    <t>Cabinet decision 30 Apr 2025 (PTI)</t>
  </si>
  <si>
    <t>https://www.theweek.in/wire-updates/business/2025/04/30/del51-cab-sugarcane.html</t>
  </si>
  <si>
    <t>Ethanol</t>
  </si>
  <si>
    <t>Blending 2013-14 and 2022-23; forex savings</t>
  </si>
  <si>
    <t>MoPNG</t>
  </si>
  <si>
    <t>https://eparlib.nic.in/bitstream/123456789/2980100/1/AU2832_aKas3t.pdf</t>
  </si>
  <si>
    <t>ESY 2018-19 procurement and blending</t>
  </si>
  <si>
    <t>Ethanol Blended Petrol page</t>
  </si>
  <si>
    <t>https://mopng.gov.in/en/refining/ethanol-blended-petrol</t>
  </si>
  <si>
    <t>ESY 2020-21 302.3 crore L, 8.17%</t>
  </si>
  <si>
    <t>Lok Sabha reply reported 9 Aug 2024</t>
  </si>
  <si>
    <t>https://www.indianchemicalnews.com/general/lite/increase-in-blending-of-ethanol-22815</t>
  </si>
  <si>
    <t>Blended volumes 2020-21 to 2024-25</t>
  </si>
  <si>
    <t>Dataful dataset 21604</t>
  </si>
  <si>
    <t>MoPNG (per Dataful)</t>
  </si>
  <si>
    <t>https://dataful.in/datasets/21604/</t>
  </si>
  <si>
    <t>Secondary; used where Parliament gives no volume</t>
  </si>
  <si>
    <t>ESY 2023-24 % blending; 20% announcement</t>
  </si>
  <si>
    <t>iamrenew, 18 Apr 2025</t>
  </si>
  <si>
    <t>https://www.iamrenew.com/green-energy/india-achieves-20-ethanol-blending-sets-sight-on-30-by-2030/</t>
  </si>
  <si>
    <t>ESY 2024-25 average 19.2%, 1,022.4 crore L</t>
  </si>
  <si>
    <t>BioEnergy Times, 20 Nov 2025</t>
  </si>
  <si>
    <t>PPAC</t>
  </si>
  <si>
    <t>https://bioenergytimes.com/esy-2024-25-india-achieves-20-ethanol-blending-in-october/</t>
  </si>
  <si>
    <t>ESY 2023-24 feedstock split</t>
  </si>
  <si>
    <t>Indian Express explainer via Vision IAS (13 Oct 2025)</t>
  </si>
  <si>
    <t>Not named</t>
  </si>
  <si>
    <t>Media</t>
  </si>
  <si>
    <t>https://visionias.in/current-affairs/upsc-daily-news-summary/article/2025-10-13/the-indian-express/economy/how-grain-not-sugar-is-fuelling-indias-ethanol-production</t>
  </si>
  <si>
    <t>Trace to MoPNG in Stage 3</t>
  </si>
  <si>
    <t>ESY 2024-25 feedstock split</t>
  </si>
  <si>
    <t>Outlook Business, 20 Feb 2026</t>
  </si>
  <si>
    <t>AIDA</t>
  </si>
  <si>
    <t>Media (industry data)</t>
  </si>
  <si>
    <t>https://www.outlookbusiness.com/industry/maize-leads-esy-2024-25-ethanol-feedstock-shift</t>
  </si>
  <si>
    <t>Industry body figures</t>
  </si>
  <si>
    <t>Maize share 0% (2021-22) to ~37% (2025-26)</t>
  </si>
  <si>
    <t>Rajya Sabha reply 20 Jul 2026 (ANI)</t>
  </si>
  <si>
    <t>https://thedailyguardian.com/business/centre-assures-20-ethanol-blending-target-has-no-impact-on-indias-food-security-or-water-stress20260720183632-739371/</t>
  </si>
  <si>
    <t>Maize share 42.74% (2023-24)</t>
  </si>
  <si>
    <t>Down To Earth, 14 Aug 2025</t>
  </si>
  <si>
    <t>https://www.downtoearth.org.in/agriculture/biofuels-area-under-maize-cultivation-in-india-increases-sharply-driven-by-push-for-ethanol</t>
  </si>
  <si>
    <t>Molasses and juice ethanol prices 2023-24, 2024-25</t>
  </si>
  <si>
    <t>CCEA decision Jan 2025 (summary)</t>
  </si>
  <si>
    <t>https://currentaffairs.khanglobalstudies.com/cabinet-approves-revised-ethanol-procurement-price-for-ebp-programme-2024-25/</t>
  </si>
  <si>
    <t>Replace with PIB original</t>
  </si>
  <si>
    <t>Maize ethanol prices 2022-23, 2023-24</t>
  </si>
  <si>
    <t>DFPD</t>
  </si>
  <si>
    <t>https://eparlib.nic.in/bitstream/123456789/2974643/1/AU755.pdf</t>
  </si>
  <si>
    <t>FCI rice prices and quantities 2020-2023</t>
  </si>
  <si>
    <t>Policy Circle explainer, 28 Jul 2023</t>
  </si>
  <si>
    <t>FCI / DFPD</t>
  </si>
  <si>
    <t>https://www.policycircle.org/economy/fci-rice-for-ethanol-explainer/</t>
  </si>
  <si>
    <t>FCI rice resumed Aug 2024, 23 lakh t</t>
  </si>
  <si>
    <t>Deccan Herald (PTI), 29 Aug 2024</t>
  </si>
  <si>
    <t>https://www.deccanherald.com/amp/story/business%2Fgovt-allows-sale-of-23-lakh-tonnes-of-rice-from-food-corporation-of-indias-stock-to-ethanol-makers-3169620</t>
  </si>
  <si>
    <t>FCI rice Rs 2,250/qtl, 24 lakh t, 2024-25</t>
  </si>
  <si>
    <t>iamrenew, 21 Jan 2025</t>
  </si>
  <si>
    <t>DFPD (OMSS-D policy)</t>
  </si>
  <si>
    <t>https://www.iamrenew.com/green-energy/govt-allows-fci-to-sell-rice-to-ethanol-makers-at-rs-22-5-kg-tender-for-110-crore-liters-to-follow-soon/</t>
  </si>
  <si>
    <t>Sugar diversion cap 1.7 Mt (2023-24)</t>
  </si>
  <si>
    <t>Argus Media</t>
  </si>
  <si>
    <t>https://www.argusmedia.com/en/news/2520022-india-eases-curbs-on-use-of-sugarcane-juice-for-ethanol</t>
  </si>
  <si>
    <t>Grain distilleries 155, capacity ~505 crore L</t>
  </si>
  <si>
    <t>https://eparlib.nic.in/bitstream/123456789/2972007/1/AU632.pdf</t>
  </si>
  <si>
    <t>Roadmap demand, capacity, 2,860 L water per L</t>
  </si>
  <si>
    <t>NITI Aayog roadmap (Jun 2021) / PRS summary</t>
  </si>
  <si>
    <t>NITI Aayog, MoPNG</t>
  </si>
  <si>
    <t>https://prsindia.org/policy/report-summaries/report-of-niti-aayog-on-roadmap-for-ethanol-blending-in-india-2020-25</t>
  </si>
  <si>
    <t>Rice ethanol yield ~470 L/t</t>
  </si>
  <si>
    <t>National Herald (Kisan Tak report), Apr 2026</t>
  </si>
  <si>
    <t>https://www.nationalheraldindia.com/amp/story/national/10000-litres-of-water-for-a-litre-of-fuel-india-govts-ethanol-push-under-scrutiny</t>
  </si>
  <si>
    <t>Verify in Stage 3</t>
  </si>
  <si>
    <t>Cane juice ethanol yield 70-81 L/t</t>
  </si>
  <si>
    <t>Jha et al. 2026, PLOS ONE</t>
  </si>
  <si>
    <t>Peer-reviewed</t>
  </si>
  <si>
    <t>https://journals.plos.org/plosone/article?id=10.1371%2Fjournal.pone.0351419</t>
  </si>
  <si>
    <t>Social cost of carbon US$417/t</t>
  </si>
  <si>
    <t>Ricke et al. 2018, Nature Climate Change</t>
  </si>
  <si>
    <t>https://carnegiescience.edu/country-level-social-cost-carbon</t>
  </si>
  <si>
    <t>Analysis_Stage4</t>
  </si>
  <si>
    <t>Rabi maize irrigation: 5 irrigations x 6 cm</t>
  </si>
  <si>
    <t>Bharati et al. 2007, Indian Journal of Agronomy 52(1)</t>
  </si>
  <si>
    <t>https://pub.isa-india.in/index.php/ija/article/view/4883</t>
  </si>
  <si>
    <t>Pusa, Bihar</t>
  </si>
  <si>
    <t>Spring maize PET 693-955 mm</t>
  </si>
  <si>
    <t>Majumder, Kingra &amp; Singh 2016, Annals of Agricultural Research 37(2)</t>
  </si>
  <si>
    <t>https://epubs.icar.org.in/index.php/AAR/article/view/61910</t>
  </si>
  <si>
    <t>Ludhiana, 1985-2014</t>
  </si>
  <si>
    <t>Spring maize needs 18+ irrigations; Punjab 1.46 lakh ha spring/summer maize; planned curbs</t>
  </si>
  <si>
    <t>The Tribune, Jun 2025 (PAU, Punjab Agriculture Dept)</t>
  </si>
  <si>
    <t>Punjab Agriculture Dept / PAU</t>
  </si>
  <si>
    <t>https://www.tribuneindia.com/news/punjab/agri-dept-plans-to-impose-curbs-on-spring-maize-in-punjab-629882/amp</t>
  </si>
  <si>
    <t>Not reflected in UPAg Punjab summer maize</t>
  </si>
  <si>
    <t>Groundwater share of net irrigated area (tube wells 45%, other wells 16%), 2011-12</t>
  </si>
  <si>
    <t>Statistical Year Book India, Irrigation chapter</t>
  </si>
  <si>
    <t>MoSPI</t>
  </si>
  <si>
    <t>https://www.mospi.gov.in/sites/default/files/Statistical_year_book_india_chapters/Irrigation.pdf</t>
  </si>
  <si>
    <t>Old; national only</t>
  </si>
  <si>
    <t>Micro-irrigation water savings 20-48%; 115 lakh ha under PDMC (Jul 2026)</t>
  </si>
  <si>
    <t>PIB backgrounder, Aug 2026 (citing Economic Survey 2020-21)</t>
  </si>
  <si>
    <t>PIB / DA&amp;FW</t>
  </si>
  <si>
    <t>https://static.pib.gov.in/WriteReadData/specificdocs/documents/2026/aug/doc_9732_20260829_12330401.pdf</t>
  </si>
  <si>
    <t>CGWA 2020 guidelines: NOC for industry, no new industry in over-exploited units, farmers exempt</t>
  </si>
  <si>
    <t>Drishti IAS summary of Rajya Sabha TV, 29 Oct 2020</t>
  </si>
  <si>
    <t>CGWA, Ministry of Jal Shakti</t>
  </si>
  <si>
    <t>https://www.drishtiias.com/loksabha-rajyasabha-discussions/groundwater-extraction-norms/print_manually</t>
  </si>
  <si>
    <t>Distillery process water 3-5 L per L</t>
  </si>
  <si>
    <t>Rajya Sabha reply, 20 Jul 2026 (ANI)</t>
  </si>
  <si>
    <t>PPAC holds no distillery supplier list</t>
  </si>
  <si>
    <t>CIC order, Jul 2026 (DT Next)</t>
  </si>
  <si>
    <t>CIC / PPAC</t>
  </si>
  <si>
    <t>https://www.dtnext.in/news/business/cic-directs-petroleum-ministry-arm-to-share-historical-petrol-ethanol-profit-data</t>
  </si>
  <si>
    <t>Punjab farm power subsidy Rs 8,275 crore (2020-21)</t>
  </si>
  <si>
    <t>Sonker &amp; Kallummal, IIFT working paper 87 (Jul 2025)</t>
  </si>
  <si>
    <t>IIFT</t>
  </si>
  <si>
    <t>Institutional</t>
  </si>
  <si>
    <t>https://wtocentre.iift.ac.in/workingpaper/CWS_WorkingPaper_87_07072025.pdf</t>
  </si>
  <si>
    <t>Forex Rs 1,13,007 crore and crude 193 lakh t to ESY 2023-24</t>
  </si>
  <si>
    <t>FIPI Policy &amp; Economic Report, Jan 2025, p.51</t>
  </si>
  <si>
    <t>MoPNG / OMC data</t>
  </si>
  <si>
    <t>https://fipi.org.in/Policy_Economic_Report/January25/files/basic-html/page51.html</t>
  </si>
  <si>
    <t>Forex Rs 1,55,000 crore, crude 260 lakh t, CO2 790 lakh t to Oct 2025</t>
  </si>
  <si>
    <t>Rajya Sabha reply, Dec 2025 (iamrenew)</t>
  </si>
  <si>
    <t>https://www.iamrenew.com/?p=17662</t>
  </si>
  <si>
    <t>Analysis_H1</t>
  </si>
  <si>
    <t>Maize 380-400 L/t, rice 370-385 L/t</t>
  </si>
  <si>
    <t>Indian Express, 21 Sep 2026 (SuperKalam summary)</t>
  </si>
  <si>
    <t>https://superkalam.com/current-affairs/21-09-2026/ethanol-vision-needs-a-feedstock-reality-check-pg11-98f39b51-e55d-41c4-8088-59beda5efedc</t>
  </si>
  <si>
    <t>India became a maize importer; competition with poultry feed</t>
  </si>
  <si>
    <t>The Hindu via Drishti IAS</t>
  </si>
  <si>
    <t>https://www.drishtiias.com/daily-updates/daily-news-analysis/india-becomes-net-importer-of-maize/print_manually</t>
  </si>
  <si>
    <t>Data still missing, and where to get it</t>
  </si>
  <si>
    <t>Priority A blocks a hypothesis test; B weakens it; C is for Stage 4.</t>
  </si>
  <si>
    <t>Priority</t>
  </si>
  <si>
    <t>Missing data</t>
  </si>
  <si>
    <t>Needed for</t>
  </si>
  <si>
    <t>Best source</t>
  </si>
  <si>
    <t>Why not collected</t>
  </si>
  <si>
    <t>Link</t>
  </si>
  <si>
    <t>A</t>
  </si>
  <si>
    <t>State groundwater extraction split by irrigation / industry / domestic</t>
  </si>
  <si>
    <t>H4 (agriculture's share of depletion)</t>
  </si>
  <si>
    <t>CGWB National Compilation 2024, Annexure I</t>
  </si>
  <si>
    <t>Annexure beyond the reader's page limit</t>
  </si>
  <si>
    <t>https://cgwb.gov.in/cgwbpnm/publication-detail/1326</t>
  </si>
  <si>
    <t>B</t>
  </si>
  <si>
    <t>State stage of extraction for 2025</t>
  </si>
  <si>
    <t>H4 (latest point)</t>
  </si>
  <si>
    <t>CGWB National Compilation 2025</t>
  </si>
  <si>
    <t>Not yet opened</t>
  </si>
  <si>
    <t>https://data.opencity.in/dataset/national-compilation-of-dynamic-ground-water-resources-of-india-2025</t>
  </si>
  <si>
    <t>Annual pre- and post-monsoon water levels by state</t>
  </si>
  <si>
    <t>H4 yearly series</t>
  </si>
  <si>
    <t>CGWB Ground Water Year Books / India-WRIS</t>
  </si>
  <si>
    <t>gwdata.cgwb.gov.in in maintenance</t>
  </si>
  <si>
    <t>https://ckandev.indiadataportal.com/dataset/groundwater</t>
  </si>
  <si>
    <t>Monsoon rainfall 2017, 2023, 2024 by state</t>
  </si>
  <si>
    <t>H4 rainfall control</t>
  </si>
  <si>
    <t>IMD end-of-season reports / MoES Parliament answers</t>
  </si>
  <si>
    <t>Not found as state table yet</t>
  </si>
  <si>
    <t>https://mausam.imd.gov.in/</t>
  </si>
  <si>
    <t>Ethanol 2019-20 volume; feedstock split 2018-19 to 2022-23; sugar diverted by year; FCI rice actually lifted</t>
  </si>
  <si>
    <t>H1 series</t>
  </si>
  <si>
    <t>MoPNG / DFPD Parliament answers; ISMA; FCI annual reports</t>
  </si>
  <si>
    <t>Scattered across answers</t>
  </si>
  <si>
    <t>https://sansad.in/</t>
  </si>
  <si>
    <t>Irrigated area by source (tubewell vs canal) by state</t>
  </si>
  <si>
    <t>H4 groundwater share</t>
  </si>
  <si>
    <t>DES Land Use Statistics; RBI Handbook Tables 55-56</t>
  </si>
  <si>
    <t>RBI new site redirects</t>
  </si>
  <si>
    <t>https://website.rbi.org.in/web/rbi/-/publications/table-56-state-wise-pattern-of-land-use-net-irrigated-area</t>
  </si>
  <si>
    <t>Distillery capacity by state and feedstock</t>
  </si>
  <si>
    <t>H1 state allocation</t>
  </si>
  <si>
    <t>Not published as a table found so far</t>
  </si>
  <si>
    <t>https://dfpd.gov.in/</t>
  </si>
  <si>
    <t>C</t>
  </si>
  <si>
    <t>Cost of cultivation and returns per hectare by state</t>
  </si>
  <si>
    <t>H3 profitability</t>
  </si>
  <si>
    <t>CACP price policy reports</t>
  </si>
  <si>
    <t>Stage 3-4</t>
  </si>
  <si>
    <t>https://cacp.da.gov.in/</t>
  </si>
  <si>
    <t>Farm electricity subsidy by state; artificial recharge cost per m3</t>
  </si>
  <si>
    <t>H5 cost translation</t>
  </si>
  <si>
    <t>PFC utility performance report; CGWB Master Plan 2020</t>
  </si>
  <si>
    <t>Stage 4</t>
  </si>
  <si>
    <t>https://cgwb.gov.in/cgwbpnm/public/uploads/documents/168613326251844776file.pdf</t>
  </si>
  <si>
    <t>H1: share of national output going to ethanol</t>
  </si>
  <si>
    <t>Feedstock (lakh t) = ethanol (crore L) x 1e7 / litres per tonne / 1e5. Blue cells are inputs; black cells are formulas.</t>
  </si>
  <si>
    <t>Ethanol low (crore L)</t>
  </si>
  <si>
    <t>Ethanol high (crore L)</t>
  </si>
  <si>
    <t>Yield low (L/t)</t>
  </si>
  <si>
    <t>Yield high (L/t)</t>
  </si>
  <si>
    <t>Feedstock low (lakh t)</t>
  </si>
  <si>
    <t>Feedstock high (lakh t)</t>
  </si>
  <si>
    <t>Share low</t>
  </si>
  <si>
    <t>Share high</t>
  </si>
  <si>
    <t>Rice and broken grain</t>
  </si>
  <si>
    <t>Sugarcane (juice route, upper bound)</t>
  </si>
  <si>
    <t>Ethanol volumes: 2023-24 Indian Express split; 2024-25 AIDA (grain 718, cane 321 crore L; maize 48-51% of 1,039). Yields: maize 380-400 and rice 370-385 L/t (Indian Express, Sep 2026); rice up to 470 L/t (Kisan Tak); cane juice 70-81 L/t (Jha et al. 2026).</t>
  </si>
  <si>
    <t>Cane lower bound is 0: ethanol from C-heavy molasses uses no extra cane. Production: DES time series (3rd AE 2025-26).</t>
  </si>
  <si>
    <t>H2 and H3: MSP rise vs output growth, and maize by season</t>
  </si>
  <si>
    <t>Changes 2015-16 to 2024-25. MSP from MSP_FRP tab; production from National_production tab (linked, green).</t>
  </si>
  <si>
    <t>MSP 2015-16</t>
  </si>
  <si>
    <t>MSP 2024-25</t>
  </si>
  <si>
    <t>MSP rise</t>
  </si>
  <si>
    <t>Output 2015-16 (lakh t)</t>
  </si>
  <si>
    <t>Output 2024-25 (lakh t)</t>
  </si>
  <si>
    <t>Output growth</t>
  </si>
  <si>
    <t>Rank MSP</t>
  </si>
  <si>
    <t>Rank output</t>
  </si>
  <si>
    <t>Rice (paddy MSP)</t>
  </si>
  <si>
    <t>Sugarcane (FRP)</t>
  </si>
  <si>
    <t>Rank correlation, MSP rise vs output growth</t>
  </si>
  <si>
    <t>All-India maize</t>
  </si>
  <si>
    <t>Change 2016-19 avg to 2022-25 avg</t>
  </si>
  <si>
    <t>Rabi + Summer</t>
  </si>
  <si>
    <t>Rabi + summer share of production</t>
  </si>
  <si>
    <t>Maize by season is pulled from the UPAg_crops tab with SUMIFS. 2025-26 = advance estimate.</t>
  </si>
  <si>
    <t>H4: water-intensive crop expansion vs groundwater change, by state</t>
  </si>
  <si>
    <t>Crop area = rice + sugarcane + rabi/summer maize (lakh ha), 3-year averages from UPAg_crops. Groundwater from the Groundwater tab (2017 vs 2024).</t>
  </si>
  <si>
    <t>Crop area 2016-19 avg</t>
  </si>
  <si>
    <t>Crop area 2021-24 avg</t>
  </si>
  <si>
    <t>Change in crop area</t>
  </si>
  <si>
    <t>Stage 2017 (%)</t>
  </si>
  <si>
    <t>Stage 2024 (%)</t>
  </si>
  <si>
    <t>Change (points)</t>
  </si>
  <si>
    <t>Extraction change</t>
  </si>
  <si>
    <t>Resource change</t>
  </si>
  <si>
    <t>Monsoon departure 2018-22 (avg)</t>
  </si>
  <si>
    <t>Rank crop</t>
  </si>
  <si>
    <t>Rank stage</t>
  </si>
  <si>
    <t>Rank extraction</t>
  </si>
  <si>
    <t>Rank resource</t>
  </si>
  <si>
    <t>Spearman: crop vs stage change</t>
  </si>
  <si>
    <t>Spearman: crop vs extraction change</t>
  </si>
  <si>
    <t>Spearman: crop vs resource change</t>
  </si>
  <si>
    <t>With 10 states, |rho| must exceed about 0.65 to be significant at 5%; none does. Rainfall: average of printed monsoon departures 2018-2022 (Rainfall tab sources).</t>
  </si>
  <si>
    <t>Punjab 2022 discrepancy does not affect this tab (uses 2017 and 2024 only).</t>
  </si>
  <si>
    <t>Water embedded in ethanol vs national groundwater extraction</t>
  </si>
  <si>
    <t>bcm = crore L x 1e7 x litres of water per litre / 1e12. Total crop water (rain + irrigation), so these are upper bounds for groundwater.</t>
  </si>
  <si>
    <t>Water factor (L water per L ethanol)</t>
  </si>
  <si>
    <t>Kisan Tak / India Today report</t>
  </si>
  <si>
    <t>Food Secretary via Kisan Tak</t>
  </si>
  <si>
    <t>Cane low</t>
  </si>
  <si>
    <t>ICAR-IISR (commissioned by ISMA)</t>
  </si>
  <si>
    <t>Cane high</t>
  </si>
  <si>
    <t>National extraction 2024 (bcm)</t>
  </si>
  <si>
    <t>RBI Table 107 / CGWB</t>
  </si>
  <si>
    <t>Maize (crore L, low)</t>
  </si>
  <si>
    <t>Maize (high)</t>
  </si>
  <si>
    <t>Grain (low)</t>
  </si>
  <si>
    <t>Grain (high)</t>
  </si>
  <si>
    <t>Cane (crore L)</t>
  </si>
  <si>
    <t>S1 low (bcm)</t>
  </si>
  <si>
    <t>S1 high (bcm)</t>
  </si>
  <si>
    <t>S1 share low</t>
  </si>
  <si>
    <t>S1 share high</t>
  </si>
  <si>
    <t>S3 low (bcm)</t>
  </si>
  <si>
    <t>S3 high (bcm)</t>
  </si>
  <si>
    <t>S3 share low</t>
  </si>
  <si>
    <t>S3 share high</t>
  </si>
  <si>
    <t>S1 counts all crop water. S3 drops by-products: surplus FCI rice and C-heavy molasses count as zero; cane counted only if made from juice (high case).</t>
  </si>
  <si>
    <t>Sanity check: national extraction fell from 248.69 bcm (2017) to 245.65 bcm (2024) while ethanol rose five-fold, so most of this water is not new groundwater pumping.</t>
  </si>
  <si>
    <t>Stage 4: new groundwater from irrigated maize, cost per litre, and a policy scenario</t>
  </si>
  <si>
    <t>Blue = sourced inputs; black = formulas. Low case uses the low depth and 61% groundwater share; high case uses the high depth and 100%.</t>
  </si>
  <si>
    <t>Input</t>
  </si>
  <si>
    <t>Low</t>
  </si>
  <si>
    <t>High</t>
  </si>
  <si>
    <t>Rabi + summer maize area, 2016-19 avg</t>
  </si>
  <si>
    <t>lakh ha</t>
  </si>
  <si>
    <t>UPAg_crops (summer reported separately from 2022-23)</t>
  </si>
  <si>
    <t>Rabi + summer maize area, 2022-25 avg</t>
  </si>
  <si>
    <t>Irrigation depth</t>
  </si>
  <si>
    <t>mm</t>
  </si>
  <si>
    <t>Low: rabi maize, 5 irrigations x 6 cm (Bharati et al. 2007, Bihar); high: spring/summer maize PET 693-955 mm (Majumder et al. 2016, Punjab)</t>
  </si>
  <si>
    <t>Groundwater share of irrigation</t>
  </si>
  <si>
    <t>fraction</t>
  </si>
  <si>
    <t>Low: tube wells 45% + other wells 16% of net irrigated area, 2011-12 (MoSPI); high: all from wells</t>
  </si>
  <si>
    <t>Rabi maize yield 2024-25</t>
  </si>
  <si>
    <t>t/ha</t>
  </si>
  <si>
    <t>Summer maize yield 2024-25</t>
  </si>
  <si>
    <t>Ethanol yield from maize</t>
  </si>
  <si>
    <t>Indian Express, Sep 2026</t>
  </si>
  <si>
    <t>Punjab farm power subsidy 2020-21</t>
  </si>
  <si>
    <t>Sonker &amp; Kallummal, IIFT working paper 87</t>
  </si>
  <si>
    <t>Punjab groundwater extraction 2020</t>
  </si>
  <si>
    <t>bcm</t>
  </si>
  <si>
    <t>Forex saved to end ESY 2023-24</t>
  </si>
  <si>
    <t>FIPI Policy &amp; Economic Report, Jan 2025</t>
  </si>
  <si>
    <t>Forex saved to Oct 2025</t>
  </si>
  <si>
    <t>Crude substituted to end ESY 2023-24</t>
  </si>
  <si>
    <t>FIPI, Jan 2025</t>
  </si>
  <si>
    <t>Crude substituted to Oct 2025</t>
  </si>
  <si>
    <t>Rajya Sabha reply, Dec 2025</t>
  </si>
  <si>
    <t>Net CO2 reduction to Oct 2025</t>
  </si>
  <si>
    <t>Ethanol blended ESY 2024-25</t>
  </si>
  <si>
    <t>PPAC via BioEnergy Times</t>
  </si>
  <si>
    <t>Maize ethanol price ESY 2023-24</t>
  </si>
  <si>
    <t>Lok Sabha AU755</t>
  </si>
  <si>
    <t>Social cost of carbon (global median, range 177-805)</t>
  </si>
  <si>
    <t>Ricke et al. 2018</t>
  </si>
  <si>
    <t>National groundwater extraction 2024</t>
  </si>
  <si>
    <t>Summer maize area 2024-25</t>
  </si>
  <si>
    <t>Summer maize production 2024-25</t>
  </si>
  <si>
    <t>Result</t>
  </si>
  <si>
    <t>How</t>
  </si>
  <si>
    <t>New irrigated maize area</t>
  </si>
  <si>
    <t>post avg - pre avg</t>
  </si>
  <si>
    <t>New irrigation water</t>
  </si>
  <si>
    <t>bcm per year</t>
  </si>
  <si>
    <t>area x depth</t>
  </si>
  <si>
    <t>New groundwater</t>
  </si>
  <si>
    <t>irrigation x groundwater share</t>
  </si>
  <si>
    <t>Share of national extraction</t>
  </si>
  <si>
    <t>Groundwater per litre (rabi maize, low; summer maize, high)</t>
  </si>
  <si>
    <t>m3 per L</t>
  </si>
  <si>
    <t>depth x 10 / yield / ethanol yield x share</t>
  </si>
  <si>
    <t>Power subsidy per m3 of groundwater (Punjab)</t>
  </si>
  <si>
    <t>Rs per m3</t>
  </si>
  <si>
    <t>subsidy / extraction</t>
  </si>
  <si>
    <t>Water subsidy cost per litre</t>
  </si>
  <si>
    <t>groundwater per L x subsidy per m3</t>
  </si>
  <si>
    <t>Cost as share of maize ethanol price</t>
  </si>
  <si>
    <t>Forex saved per litre, ESY 2024-25</t>
  </si>
  <si>
    <t>increment / volume</t>
  </si>
  <si>
    <t>CO2 avoided per litre, ESY 2024-25</t>
  </si>
  <si>
    <t>kg per L</t>
  </si>
  <si>
    <t>crude per L x official CO2/crude ratio</t>
  </si>
  <si>
    <t>Carbon value per litre at global SCC</t>
  </si>
  <si>
    <t>US$ per L</t>
  </si>
  <si>
    <t>kg/1000 x SCC</t>
  </si>
  <si>
    <t>P1: groundwater used by summer maize</t>
  </si>
  <si>
    <t>summer area x high depth x share</t>
  </si>
  <si>
    <t>P1: ethanol equivalent of summer maize</t>
  </si>
  <si>
    <t>production x ethanol yield</t>
  </si>
  <si>
    <t>Power subsidy per m3 is a lower bound on the cost of pumping: it ignores well deepening, energy for non-subsidised pumps and the scarcity value of depleted aquifers.</t>
  </si>
  <si>
    <t>Maize output rose 12.3 Mt (2016-19 avg to 2022-25 avg), about equal to maize used for ethanol in 2024-25 (12.5-13.9 Mt; Analysis_H1).</t>
  </si>
  <si>
    <t>Annual power subsidy on new groundwater</t>
  </si>
  <si>
    <t>Rs crore per year</t>
  </si>
  <si>
    <t>new groundwater x subsidy per m3</t>
  </si>
  <si>
    <t>Groundwater per litre, as litres of water</t>
  </si>
  <si>
    <t>L per L</t>
  </si>
  <si>
    <t>Compare: distillery process water 3-5 L per L (Rajya Sabha reply, Jul 2026)</t>
  </si>
  <si>
    <t>P1: power subsidy on summer-maize groundwater</t>
  </si>
  <si>
    <t>P1 groundwater x subsidy per m3</t>
  </si>
  <si>
    <t>P1: forex saving carried by summer-maize ethanol</t>
  </si>
  <si>
    <t>P1 ethanol x forex per litre: what would be lost if the volume were cut rather than shifted</t>
  </si>
  <si>
    <t>P4: water saved if micro-irrigation saves 20-48%</t>
  </si>
  <si>
    <t>new groundwater x 20% (low) or 48% (high); Economic Survey 2020-21 via PIB, Aug 2026</t>
  </si>
  <si>
    <t>Where the new groundwater falls (same low/high cases; extraction from RBI Table 107 / CGWB, entered as values)</t>
  </si>
  <si>
    <t>Rabi+summer maize 2016-19 avg (lakh ha)</t>
  </si>
  <si>
    <t>2022-25 avg (lakh ha)</t>
  </si>
  <si>
    <t>Added area (lakh ha)</t>
  </si>
  <si>
    <t>New groundwater low (bcm)</t>
  </si>
  <si>
    <t>New groundwater high (bcm)</t>
  </si>
  <si>
    <t>Extraction 2017 (bcm)</t>
  </si>
  <si>
    <t>Extraction 2024 (bcm)</t>
  </si>
  <si>
    <t>Extraction change (bcm)</t>
  </si>
  <si>
    <t>Low case / extraction change</t>
  </si>
  <si>
    <t>High case / 2024 extraction</t>
  </si>
  <si>
    <t>Stage of extraction 2024</t>
  </si>
  <si>
    <t>Gross figures: some new rabi maize replaced other rabi crops (wheat, pulses) that also used water, and not all of it went to ethanol. State averages hide block-level over-exploitation.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</si>
</sst>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"/>
    <numFmt numFmtId="167" formatCode="\+0.0;\-0.0"/>
    <numFmt numFmtId="168" formatCode="\+0.00;\-0.00"/>
  </numFmts>
  <fonts count="10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b/>
      <sz val="13"/>
      <color rgb="FF000000"/>
      <name val="Arial"/>
      <family val="2"/>
    </font>
    <font>
      <i/>
      <sz val="10"/>
      <color rgb="FF595959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2" fontId="3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1" xfId="0" applyFont="1" applyBorder="1"/>
    <xf numFmtId="9" fontId="3" fillId="0" borderId="1" xfId="0" applyNumberFormat="1" applyFont="1" applyBorder="1"/>
    <xf numFmtId="0" fontId="3" fillId="3" borderId="1" xfId="0" applyFont="1" applyFill="1" applyBorder="1"/>
    <xf numFmtId="164" fontId="3" fillId="0" borderId="1" xfId="0" applyNumberFormat="1" applyFont="1" applyBorder="1"/>
    <xf numFmtId="164" fontId="3" fillId="3" borderId="1" xfId="0" applyNumberFormat="1" applyFont="1" applyFill="1" applyBorder="1"/>
    <xf numFmtId="3" fontId="3" fillId="0" borderId="1" xfId="0" applyNumberFormat="1" applyFont="1" applyBorder="1"/>
    <xf numFmtId="9" fontId="2" fillId="0" borderId="1" xfId="0" applyNumberFormat="1" applyFont="1" applyBorder="1"/>
    <xf numFmtId="165" fontId="3" fillId="0" borderId="1" xfId="0" applyNumberFormat="1" applyFont="1" applyBorder="1"/>
    <xf numFmtId="165" fontId="3" fillId="3" borderId="1" xfId="0" applyNumberFormat="1" applyFont="1" applyFill="1" applyBorder="1"/>
    <xf numFmtId="165" fontId="2" fillId="0" borderId="1" xfId="0" applyNumberFormat="1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8" fillId="0" borderId="1" xfId="0" applyNumberFormat="1" applyFont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2" fontId="2" fillId="0" borderId="1" xfId="0" applyNumberFormat="1" applyFont="1" applyBorder="1"/>
    <xf numFmtId="166" fontId="3" fillId="0" borderId="1" xfId="0" applyNumberFormat="1" applyFont="1" applyBorder="1"/>
    <xf numFmtId="166" fontId="9" fillId="0" borderId="1" xfId="0" applyNumberFormat="1" applyFont="1" applyBorder="1"/>
    <xf numFmtId="167" fontId="3" fillId="0" borderId="1" xfId="0" applyNumberFormat="1" applyFont="1" applyBorder="1"/>
    <xf numFmtId="165" fontId="9" fillId="0" borderId="1" xfId="0" applyNumberFormat="1" applyFont="1" applyBorder="1"/>
    <xf numFmtId="9" fontId="8" fillId="0" borderId="1" xfId="0" applyNumberFormat="1" applyFont="1" applyBorder="1"/>
    <xf numFmtId="168" fontId="2" fillId="0" borderId="1" xfId="0" applyNumberFormat="1" applyFont="1" applyBorder="1"/>
    <xf numFmtId="4" fontId="8" fillId="0" borderId="1" xfId="0" applyNumberFormat="1" applyFont="1" applyBorder="1"/>
    <xf numFmtId="2" fontId="8" fillId="0" borderId="1" xfId="0" applyNumberFormat="1" applyFont="1" applyBorder="1"/>
    <xf numFmtId="165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5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2" customWidth="1"/>
    <col min="3" max="4" width="10" customWidth="1"/>
    <col min="5" max="5" width="15" customWidth="1"/>
    <col min="6" max="6" width="18" customWidth="1"/>
  </cols>
  <sheetData>
    <row r="1" spans="1:6" x14ac:dyDescent="0.3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</row>
    <row r="2" spans="1:6" x14ac:dyDescent="0.3">
      <c r="A2" s="5" t="s">
        <v>26</v>
      </c>
      <c r="B2" s="5" t="s">
        <v>27</v>
      </c>
      <c r="C2" s="5" t="s">
        <v>28</v>
      </c>
      <c r="D2" s="5" t="s">
        <v>29</v>
      </c>
      <c r="E2" s="6">
        <v>2.41</v>
      </c>
      <c r="F2" s="6">
        <v>6.24</v>
      </c>
    </row>
    <row r="3" spans="1:6" x14ac:dyDescent="0.3">
      <c r="A3" s="5" t="s">
        <v>26</v>
      </c>
      <c r="B3" s="5" t="s">
        <v>27</v>
      </c>
      <c r="C3" s="5" t="s">
        <v>28</v>
      </c>
      <c r="D3" s="5" t="s">
        <v>30</v>
      </c>
      <c r="E3" s="6">
        <v>2.23</v>
      </c>
      <c r="F3" s="6">
        <v>5.36</v>
      </c>
    </row>
    <row r="4" spans="1:6" x14ac:dyDescent="0.3">
      <c r="A4" s="5" t="s">
        <v>26</v>
      </c>
      <c r="B4" s="5" t="s">
        <v>27</v>
      </c>
      <c r="C4" s="5" t="s">
        <v>28</v>
      </c>
      <c r="D4" s="5" t="s">
        <v>31</v>
      </c>
      <c r="E4" s="6">
        <v>2.23</v>
      </c>
      <c r="F4" s="6">
        <v>4.6399999999999997</v>
      </c>
    </row>
    <row r="5" spans="1:6" x14ac:dyDescent="0.3">
      <c r="A5" s="5" t="s">
        <v>26</v>
      </c>
      <c r="B5" s="5" t="s">
        <v>27</v>
      </c>
      <c r="C5" s="5" t="s">
        <v>28</v>
      </c>
      <c r="D5" s="5" t="s">
        <v>32</v>
      </c>
      <c r="E5" s="6">
        <v>2.09</v>
      </c>
      <c r="F5" s="6">
        <v>4.3499999999999996</v>
      </c>
    </row>
    <row r="6" spans="1:6" x14ac:dyDescent="0.3">
      <c r="A6" s="5" t="s">
        <v>26</v>
      </c>
      <c r="B6" s="5" t="s">
        <v>27</v>
      </c>
      <c r="C6" s="5" t="s">
        <v>28</v>
      </c>
      <c r="D6" s="5" t="s">
        <v>33</v>
      </c>
      <c r="E6" s="6">
        <v>1.94</v>
      </c>
      <c r="F6" s="6">
        <v>2.25</v>
      </c>
    </row>
    <row r="7" spans="1:6" x14ac:dyDescent="0.3">
      <c r="A7" s="5" t="s">
        <v>26</v>
      </c>
      <c r="B7" s="5" t="s">
        <v>27</v>
      </c>
      <c r="C7" s="5" t="s">
        <v>28</v>
      </c>
      <c r="D7" s="5" t="s">
        <v>34</v>
      </c>
      <c r="E7" s="6">
        <v>1.74</v>
      </c>
      <c r="F7" s="6">
        <v>2.35</v>
      </c>
    </row>
    <row r="8" spans="1:6" x14ac:dyDescent="0.3">
      <c r="A8" s="5" t="s">
        <v>26</v>
      </c>
      <c r="B8" s="5" t="s">
        <v>27</v>
      </c>
      <c r="C8" s="5" t="s">
        <v>28</v>
      </c>
      <c r="D8" s="5" t="s">
        <v>35</v>
      </c>
      <c r="E8" s="6">
        <v>1.81</v>
      </c>
      <c r="F8" s="6">
        <v>4.45</v>
      </c>
    </row>
    <row r="9" spans="1:6" x14ac:dyDescent="0.3">
      <c r="A9" s="5" t="s">
        <v>26</v>
      </c>
      <c r="B9" s="5" t="s">
        <v>27</v>
      </c>
      <c r="C9" s="5" t="s">
        <v>28</v>
      </c>
      <c r="D9" s="5" t="s">
        <v>36</v>
      </c>
      <c r="E9" s="6">
        <v>2.16</v>
      </c>
      <c r="F9" s="6">
        <v>5.86</v>
      </c>
    </row>
    <row r="10" spans="1:6" x14ac:dyDescent="0.3">
      <c r="A10" s="5" t="s">
        <v>26</v>
      </c>
      <c r="B10" s="5" t="s">
        <v>27</v>
      </c>
      <c r="C10" s="5" t="s">
        <v>28</v>
      </c>
      <c r="D10" s="5" t="s">
        <v>37</v>
      </c>
      <c r="E10" s="6">
        <v>1.93</v>
      </c>
      <c r="F10" s="6">
        <v>5.71</v>
      </c>
    </row>
    <row r="11" spans="1:6" x14ac:dyDescent="0.3">
      <c r="A11" s="5" t="s">
        <v>26</v>
      </c>
      <c r="B11" s="5" t="s">
        <v>27</v>
      </c>
      <c r="C11" s="5" t="s">
        <v>28</v>
      </c>
      <c r="D11" s="5" t="s">
        <v>38</v>
      </c>
      <c r="E11" s="6">
        <v>2</v>
      </c>
      <c r="F11" s="6">
        <v>6.78</v>
      </c>
    </row>
    <row r="12" spans="1:6" x14ac:dyDescent="0.3">
      <c r="A12" s="5" t="s">
        <v>26</v>
      </c>
      <c r="B12" s="5" t="s">
        <v>27</v>
      </c>
      <c r="C12" s="5" t="s">
        <v>39</v>
      </c>
      <c r="D12" s="5" t="s">
        <v>29</v>
      </c>
      <c r="E12" s="6">
        <v>4.79</v>
      </c>
      <c r="F12" s="6">
        <v>20.66</v>
      </c>
    </row>
    <row r="13" spans="1:6" x14ac:dyDescent="0.3">
      <c r="A13" s="5" t="s">
        <v>26</v>
      </c>
      <c r="B13" s="5" t="s">
        <v>27</v>
      </c>
      <c r="C13" s="5" t="s">
        <v>39</v>
      </c>
      <c r="D13" s="5" t="s">
        <v>30</v>
      </c>
      <c r="E13" s="6">
        <v>4.54</v>
      </c>
      <c r="F13" s="6">
        <v>18.190000000000001</v>
      </c>
    </row>
    <row r="14" spans="1:6" x14ac:dyDescent="0.3">
      <c r="A14" s="5" t="s">
        <v>26</v>
      </c>
      <c r="B14" s="5" t="s">
        <v>27</v>
      </c>
      <c r="C14" s="5" t="s">
        <v>39</v>
      </c>
      <c r="D14" s="5" t="s">
        <v>31</v>
      </c>
      <c r="E14" s="6">
        <v>4.46</v>
      </c>
      <c r="F14" s="6">
        <v>20.190000000000001</v>
      </c>
    </row>
    <row r="15" spans="1:6" x14ac:dyDescent="0.3">
      <c r="A15" s="5" t="s">
        <v>26</v>
      </c>
      <c r="B15" s="5" t="s">
        <v>27</v>
      </c>
      <c r="C15" s="5" t="s">
        <v>39</v>
      </c>
      <c r="D15" s="5" t="s">
        <v>32</v>
      </c>
      <c r="E15" s="6">
        <v>4.6399999999999997</v>
      </c>
      <c r="F15" s="6">
        <v>15.68</v>
      </c>
    </row>
    <row r="16" spans="1:6" x14ac:dyDescent="0.3">
      <c r="A16" s="5" t="s">
        <v>26</v>
      </c>
      <c r="B16" s="5" t="s">
        <v>27</v>
      </c>
      <c r="C16" s="5" t="s">
        <v>39</v>
      </c>
      <c r="D16" s="5" t="s">
        <v>33</v>
      </c>
      <c r="E16" s="6">
        <v>4.5599999999999996</v>
      </c>
      <c r="F16" s="6">
        <v>18.59</v>
      </c>
    </row>
    <row r="17" spans="1:6" x14ac:dyDescent="0.3">
      <c r="A17" s="5" t="s">
        <v>26</v>
      </c>
      <c r="B17" s="5" t="s">
        <v>27</v>
      </c>
      <c r="C17" s="5" t="s">
        <v>39</v>
      </c>
      <c r="D17" s="5" t="s">
        <v>34</v>
      </c>
      <c r="E17" s="6">
        <v>4.8899999999999997</v>
      </c>
      <c r="F17" s="6">
        <v>24.34</v>
      </c>
    </row>
    <row r="18" spans="1:6" x14ac:dyDescent="0.3">
      <c r="A18" s="5" t="s">
        <v>26</v>
      </c>
      <c r="B18" s="5" t="s">
        <v>27</v>
      </c>
      <c r="C18" s="5" t="s">
        <v>39</v>
      </c>
      <c r="D18" s="5" t="s">
        <v>35</v>
      </c>
      <c r="E18" s="6">
        <v>4.09</v>
      </c>
      <c r="F18" s="6">
        <v>29.15</v>
      </c>
    </row>
    <row r="19" spans="1:6" x14ac:dyDescent="0.3">
      <c r="A19" s="5" t="s">
        <v>26</v>
      </c>
      <c r="B19" s="5" t="s">
        <v>27</v>
      </c>
      <c r="C19" s="5" t="s">
        <v>39</v>
      </c>
      <c r="D19" s="5" t="s">
        <v>36</v>
      </c>
      <c r="E19" s="6">
        <v>5.58</v>
      </c>
      <c r="F19" s="6">
        <v>40.51</v>
      </c>
    </row>
    <row r="20" spans="1:6" x14ac:dyDescent="0.3">
      <c r="A20" s="5" t="s">
        <v>26</v>
      </c>
      <c r="B20" s="5" t="s">
        <v>27</v>
      </c>
      <c r="C20" s="5" t="s">
        <v>39</v>
      </c>
      <c r="D20" s="5" t="s">
        <v>37</v>
      </c>
      <c r="E20" s="6">
        <v>5.5</v>
      </c>
      <c r="F20" s="6">
        <v>40.700000000000003</v>
      </c>
    </row>
    <row r="21" spans="1:6" x14ac:dyDescent="0.3">
      <c r="A21" s="5" t="s">
        <v>26</v>
      </c>
      <c r="B21" s="5" t="s">
        <v>27</v>
      </c>
      <c r="C21" s="5" t="s">
        <v>39</v>
      </c>
      <c r="D21" s="5" t="s">
        <v>38</v>
      </c>
      <c r="E21" s="6">
        <v>5.25</v>
      </c>
      <c r="F21" s="6">
        <v>39.28</v>
      </c>
    </row>
    <row r="22" spans="1:6" x14ac:dyDescent="0.3">
      <c r="A22" s="5" t="s">
        <v>26</v>
      </c>
      <c r="B22" s="5" t="s">
        <v>27</v>
      </c>
      <c r="C22" s="5" t="s">
        <v>40</v>
      </c>
      <c r="D22" s="5" t="s">
        <v>29</v>
      </c>
      <c r="E22" s="6"/>
      <c r="F22" s="6"/>
    </row>
    <row r="23" spans="1:6" x14ac:dyDescent="0.3">
      <c r="A23" s="5" t="s">
        <v>26</v>
      </c>
      <c r="B23" s="5" t="s">
        <v>27</v>
      </c>
      <c r="C23" s="5" t="s">
        <v>40</v>
      </c>
      <c r="D23" s="5" t="s">
        <v>30</v>
      </c>
      <c r="E23" s="6"/>
      <c r="F23" s="6"/>
    </row>
    <row r="24" spans="1:6" x14ac:dyDescent="0.3">
      <c r="A24" s="5" t="s">
        <v>26</v>
      </c>
      <c r="B24" s="5" t="s">
        <v>27</v>
      </c>
      <c r="C24" s="5" t="s">
        <v>40</v>
      </c>
      <c r="D24" s="5" t="s">
        <v>31</v>
      </c>
      <c r="E24" s="6"/>
      <c r="F24" s="6"/>
    </row>
    <row r="25" spans="1:6" x14ac:dyDescent="0.3">
      <c r="A25" s="5" t="s">
        <v>26</v>
      </c>
      <c r="B25" s="5" t="s">
        <v>27</v>
      </c>
      <c r="C25" s="5" t="s">
        <v>40</v>
      </c>
      <c r="D25" s="5" t="s">
        <v>32</v>
      </c>
      <c r="E25" s="6"/>
      <c r="F25" s="6"/>
    </row>
    <row r="26" spans="1:6" x14ac:dyDescent="0.3">
      <c r="A26" s="5" t="s">
        <v>26</v>
      </c>
      <c r="B26" s="5" t="s">
        <v>27</v>
      </c>
      <c r="C26" s="5" t="s">
        <v>40</v>
      </c>
      <c r="D26" s="5" t="s">
        <v>33</v>
      </c>
      <c r="E26" s="6"/>
      <c r="F26" s="6"/>
    </row>
    <row r="27" spans="1:6" x14ac:dyDescent="0.3">
      <c r="A27" s="5" t="s">
        <v>26</v>
      </c>
      <c r="B27" s="5" t="s">
        <v>27</v>
      </c>
      <c r="C27" s="5" t="s">
        <v>40</v>
      </c>
      <c r="D27" s="5" t="s">
        <v>34</v>
      </c>
      <c r="E27" s="6"/>
      <c r="F27" s="6"/>
    </row>
    <row r="28" spans="1:6" x14ac:dyDescent="0.3">
      <c r="A28" s="5" t="s">
        <v>26</v>
      </c>
      <c r="B28" s="5" t="s">
        <v>27</v>
      </c>
      <c r="C28" s="5" t="s">
        <v>40</v>
      </c>
      <c r="D28" s="5" t="s">
        <v>35</v>
      </c>
      <c r="E28" s="6">
        <v>1.58</v>
      </c>
      <c r="F28" s="6">
        <v>10.19</v>
      </c>
    </row>
    <row r="29" spans="1:6" x14ac:dyDescent="0.3">
      <c r="A29" s="5" t="s">
        <v>26</v>
      </c>
      <c r="B29" s="5" t="s">
        <v>27</v>
      </c>
      <c r="C29" s="5" t="s">
        <v>40</v>
      </c>
      <c r="D29" s="5" t="s">
        <v>36</v>
      </c>
      <c r="E29" s="6">
        <v>1.82</v>
      </c>
      <c r="F29" s="6">
        <v>10.72</v>
      </c>
    </row>
    <row r="30" spans="1:6" x14ac:dyDescent="0.3">
      <c r="A30" s="5" t="s">
        <v>26</v>
      </c>
      <c r="B30" s="5" t="s">
        <v>27</v>
      </c>
      <c r="C30" s="5" t="s">
        <v>40</v>
      </c>
      <c r="D30" s="5" t="s">
        <v>37</v>
      </c>
      <c r="E30" s="6">
        <v>1.54</v>
      </c>
      <c r="F30" s="6">
        <v>8.27</v>
      </c>
    </row>
    <row r="31" spans="1:6" x14ac:dyDescent="0.3">
      <c r="A31" s="5" t="s">
        <v>26</v>
      </c>
      <c r="B31" s="5" t="s">
        <v>27</v>
      </c>
      <c r="C31" s="5" t="s">
        <v>40</v>
      </c>
      <c r="D31" s="5" t="s">
        <v>38</v>
      </c>
      <c r="E31" s="6">
        <v>1.64</v>
      </c>
      <c r="F31" s="6">
        <v>9.7200000000000006</v>
      </c>
    </row>
    <row r="32" spans="1:6" x14ac:dyDescent="0.3">
      <c r="A32" s="5" t="s">
        <v>26</v>
      </c>
      <c r="B32" s="5" t="s">
        <v>27</v>
      </c>
      <c r="C32" s="5" t="s">
        <v>41</v>
      </c>
      <c r="D32" s="5" t="s">
        <v>29</v>
      </c>
      <c r="E32" s="6">
        <v>7.21</v>
      </c>
      <c r="F32" s="6">
        <v>26.9</v>
      </c>
    </row>
    <row r="33" spans="1:6" x14ac:dyDescent="0.3">
      <c r="A33" s="5" t="s">
        <v>26</v>
      </c>
      <c r="B33" s="5" t="s">
        <v>27</v>
      </c>
      <c r="C33" s="5" t="s">
        <v>41</v>
      </c>
      <c r="D33" s="5" t="s">
        <v>30</v>
      </c>
      <c r="E33" s="6">
        <v>6.77</v>
      </c>
      <c r="F33" s="6">
        <v>23.55</v>
      </c>
    </row>
    <row r="34" spans="1:6" x14ac:dyDescent="0.3">
      <c r="A34" s="5" t="s">
        <v>26</v>
      </c>
      <c r="B34" s="5" t="s">
        <v>27</v>
      </c>
      <c r="C34" s="5" t="s">
        <v>41</v>
      </c>
      <c r="D34" s="5" t="s">
        <v>31</v>
      </c>
      <c r="E34" s="6">
        <v>6.69</v>
      </c>
      <c r="F34" s="6">
        <v>24.83</v>
      </c>
    </row>
    <row r="35" spans="1:6" x14ac:dyDescent="0.3">
      <c r="A35" s="5" t="s">
        <v>26</v>
      </c>
      <c r="B35" s="5" t="s">
        <v>27</v>
      </c>
      <c r="C35" s="5" t="s">
        <v>41</v>
      </c>
      <c r="D35" s="5" t="s">
        <v>32</v>
      </c>
      <c r="E35" s="6">
        <v>6.73</v>
      </c>
      <c r="F35" s="6">
        <v>20.03</v>
      </c>
    </row>
    <row r="36" spans="1:6" x14ac:dyDescent="0.3">
      <c r="A36" s="5" t="s">
        <v>26</v>
      </c>
      <c r="B36" s="5" t="s">
        <v>27</v>
      </c>
      <c r="C36" s="5" t="s">
        <v>41</v>
      </c>
      <c r="D36" s="5" t="s">
        <v>33</v>
      </c>
      <c r="E36" s="6">
        <v>6.49</v>
      </c>
      <c r="F36" s="6">
        <v>20.84</v>
      </c>
    </row>
    <row r="37" spans="1:6" x14ac:dyDescent="0.3">
      <c r="A37" s="5" t="s">
        <v>26</v>
      </c>
      <c r="B37" s="5" t="s">
        <v>27</v>
      </c>
      <c r="C37" s="5" t="s">
        <v>41</v>
      </c>
      <c r="D37" s="5" t="s">
        <v>34</v>
      </c>
      <c r="E37" s="6">
        <v>6.63</v>
      </c>
      <c r="F37" s="6">
        <v>26.69</v>
      </c>
    </row>
    <row r="38" spans="1:6" x14ac:dyDescent="0.3">
      <c r="A38" s="5" t="s">
        <v>26</v>
      </c>
      <c r="B38" s="5" t="s">
        <v>27</v>
      </c>
      <c r="C38" s="5" t="s">
        <v>41</v>
      </c>
      <c r="D38" s="5" t="s">
        <v>35</v>
      </c>
      <c r="E38" s="6">
        <v>7.48</v>
      </c>
      <c r="F38" s="6">
        <v>43.8</v>
      </c>
    </row>
    <row r="39" spans="1:6" x14ac:dyDescent="0.3">
      <c r="A39" s="5" t="s">
        <v>26</v>
      </c>
      <c r="B39" s="5" t="s">
        <v>27</v>
      </c>
      <c r="C39" s="5" t="s">
        <v>41</v>
      </c>
      <c r="D39" s="5" t="s">
        <v>36</v>
      </c>
      <c r="E39" s="6">
        <v>9.5500000000000007</v>
      </c>
      <c r="F39" s="6">
        <v>57.09</v>
      </c>
    </row>
    <row r="40" spans="1:6" x14ac:dyDescent="0.3">
      <c r="A40" s="5" t="s">
        <v>26</v>
      </c>
      <c r="B40" s="5" t="s">
        <v>27</v>
      </c>
      <c r="C40" s="5" t="s">
        <v>41</v>
      </c>
      <c r="D40" s="5" t="s">
        <v>37</v>
      </c>
      <c r="E40" s="6">
        <v>8.9600000000000009</v>
      </c>
      <c r="F40" s="6">
        <v>54.68</v>
      </c>
    </row>
    <row r="41" spans="1:6" x14ac:dyDescent="0.3">
      <c r="A41" s="5" t="s">
        <v>26</v>
      </c>
      <c r="B41" s="5" t="s">
        <v>27</v>
      </c>
      <c r="C41" s="5" t="s">
        <v>41</v>
      </c>
      <c r="D41" s="5" t="s">
        <v>38</v>
      </c>
      <c r="E41" s="6">
        <v>8.9</v>
      </c>
      <c r="F41" s="6">
        <v>55.78</v>
      </c>
    </row>
    <row r="42" spans="1:6" x14ac:dyDescent="0.3">
      <c r="A42" s="5" t="s">
        <v>26</v>
      </c>
      <c r="B42" s="5" t="s">
        <v>42</v>
      </c>
      <c r="C42" s="5" t="s">
        <v>41</v>
      </c>
      <c r="D42" s="5" t="s">
        <v>29</v>
      </c>
      <c r="E42" s="6">
        <v>33.4</v>
      </c>
      <c r="F42" s="6">
        <v>82.39</v>
      </c>
    </row>
    <row r="43" spans="1:6" x14ac:dyDescent="0.3">
      <c r="A43" s="5" t="s">
        <v>26</v>
      </c>
      <c r="B43" s="5" t="s">
        <v>42</v>
      </c>
      <c r="C43" s="5" t="s">
        <v>41</v>
      </c>
      <c r="D43" s="5" t="s">
        <v>30</v>
      </c>
      <c r="E43" s="6">
        <v>33.07</v>
      </c>
      <c r="F43" s="6">
        <v>80.930000000000007</v>
      </c>
    </row>
    <row r="44" spans="1:6" x14ac:dyDescent="0.3">
      <c r="A44" s="5" t="s">
        <v>26</v>
      </c>
      <c r="B44" s="5" t="s">
        <v>42</v>
      </c>
      <c r="C44" s="5" t="s">
        <v>41</v>
      </c>
      <c r="D44" s="5" t="s">
        <v>31</v>
      </c>
      <c r="E44" s="6">
        <v>31.6</v>
      </c>
      <c r="F44" s="6">
        <v>61.56</v>
      </c>
    </row>
    <row r="45" spans="1:6" x14ac:dyDescent="0.3">
      <c r="A45" s="5" t="s">
        <v>26</v>
      </c>
      <c r="B45" s="5" t="s">
        <v>42</v>
      </c>
      <c r="C45" s="5" t="s">
        <v>41</v>
      </c>
      <c r="D45" s="5" t="s">
        <v>32</v>
      </c>
      <c r="E45" s="6">
        <v>28.86</v>
      </c>
      <c r="F45" s="6">
        <v>62.98</v>
      </c>
    </row>
    <row r="46" spans="1:6" x14ac:dyDescent="0.3">
      <c r="A46" s="5" t="s">
        <v>26</v>
      </c>
      <c r="B46" s="5" t="s">
        <v>42</v>
      </c>
      <c r="C46" s="5" t="s">
        <v>41</v>
      </c>
      <c r="D46" s="5" t="s">
        <v>33</v>
      </c>
      <c r="E46" s="6">
        <v>30.21</v>
      </c>
      <c r="F46" s="6">
        <v>67.47</v>
      </c>
    </row>
    <row r="47" spans="1:6" x14ac:dyDescent="0.3">
      <c r="A47" s="5" t="s">
        <v>26</v>
      </c>
      <c r="B47" s="5" t="s">
        <v>42</v>
      </c>
      <c r="C47" s="5" t="s">
        <v>41</v>
      </c>
      <c r="D47" s="5" t="s">
        <v>34</v>
      </c>
      <c r="E47" s="6">
        <v>30.91</v>
      </c>
      <c r="F47" s="6">
        <v>77.17</v>
      </c>
    </row>
    <row r="48" spans="1:6" x14ac:dyDescent="0.3">
      <c r="A48" s="5" t="s">
        <v>26</v>
      </c>
      <c r="B48" s="5" t="s">
        <v>42</v>
      </c>
      <c r="C48" s="5" t="s">
        <v>41</v>
      </c>
      <c r="D48" s="5" t="s">
        <v>35</v>
      </c>
      <c r="E48" s="6">
        <v>28.63</v>
      </c>
      <c r="F48" s="6">
        <v>70.23</v>
      </c>
    </row>
    <row r="49" spans="1:6" x14ac:dyDescent="0.3">
      <c r="A49" s="5" t="s">
        <v>26</v>
      </c>
      <c r="B49" s="5" t="s">
        <v>42</v>
      </c>
      <c r="C49" s="5" t="s">
        <v>41</v>
      </c>
      <c r="D49" s="5" t="s">
        <v>36</v>
      </c>
      <c r="E49" s="6">
        <v>31.1</v>
      </c>
      <c r="F49" s="6">
        <v>79.02</v>
      </c>
    </row>
    <row r="50" spans="1:6" x14ac:dyDescent="0.3">
      <c r="A50" s="5" t="s">
        <v>26</v>
      </c>
      <c r="B50" s="5" t="s">
        <v>42</v>
      </c>
      <c r="C50" s="5" t="s">
        <v>41</v>
      </c>
      <c r="D50" s="5" t="s">
        <v>37</v>
      </c>
      <c r="E50" s="6">
        <v>32.42</v>
      </c>
      <c r="F50" s="6">
        <v>83.02</v>
      </c>
    </row>
    <row r="51" spans="1:6" x14ac:dyDescent="0.3">
      <c r="A51" s="5" t="s">
        <v>26</v>
      </c>
      <c r="B51" s="5" t="s">
        <v>42</v>
      </c>
      <c r="C51" s="5" t="s">
        <v>41</v>
      </c>
      <c r="D51" s="5" t="s">
        <v>38</v>
      </c>
      <c r="E51" s="6">
        <v>33.159999999999997</v>
      </c>
      <c r="F51" s="6">
        <v>87.46</v>
      </c>
    </row>
    <row r="52" spans="1:6" x14ac:dyDescent="0.3">
      <c r="A52" s="5" t="s">
        <v>26</v>
      </c>
      <c r="B52" s="5" t="s">
        <v>43</v>
      </c>
      <c r="C52" s="5" t="s">
        <v>41</v>
      </c>
      <c r="D52" s="5" t="s">
        <v>29</v>
      </c>
      <c r="E52" s="6">
        <v>21.06</v>
      </c>
      <c r="F52" s="6">
        <v>51.11</v>
      </c>
    </row>
    <row r="53" spans="1:6" x14ac:dyDescent="0.3">
      <c r="A53" s="5" t="s">
        <v>26</v>
      </c>
      <c r="B53" s="5" t="s">
        <v>43</v>
      </c>
      <c r="C53" s="5" t="s">
        <v>41</v>
      </c>
      <c r="D53" s="5" t="s">
        <v>30</v>
      </c>
      <c r="E53" s="6">
        <v>21.01</v>
      </c>
      <c r="F53" s="6">
        <v>61.04</v>
      </c>
    </row>
    <row r="54" spans="1:6" x14ac:dyDescent="0.3">
      <c r="A54" s="5" t="s">
        <v>26</v>
      </c>
      <c r="B54" s="5" t="s">
        <v>43</v>
      </c>
      <c r="C54" s="5" t="s">
        <v>41</v>
      </c>
      <c r="D54" s="5" t="s">
        <v>31</v>
      </c>
      <c r="E54" s="6">
        <v>21.57</v>
      </c>
      <c r="F54" s="6">
        <v>64.66</v>
      </c>
    </row>
    <row r="55" spans="1:6" x14ac:dyDescent="0.3">
      <c r="A55" s="5" t="s">
        <v>26</v>
      </c>
      <c r="B55" s="5" t="s">
        <v>43</v>
      </c>
      <c r="C55" s="5" t="s">
        <v>41</v>
      </c>
      <c r="D55" s="5" t="s">
        <v>32</v>
      </c>
      <c r="E55" s="6">
        <v>21.5</v>
      </c>
      <c r="F55" s="6">
        <v>55.8</v>
      </c>
    </row>
    <row r="56" spans="1:6" x14ac:dyDescent="0.3">
      <c r="A56" s="5" t="s">
        <v>26</v>
      </c>
      <c r="B56" s="5" t="s">
        <v>43</v>
      </c>
      <c r="C56" s="5" t="s">
        <v>41</v>
      </c>
      <c r="D56" s="5" t="s">
        <v>33</v>
      </c>
      <c r="E56" s="6">
        <v>22.23</v>
      </c>
      <c r="F56" s="6">
        <v>61.5</v>
      </c>
    </row>
    <row r="57" spans="1:6" x14ac:dyDescent="0.3">
      <c r="A57" s="5" t="s">
        <v>26</v>
      </c>
      <c r="B57" s="5" t="s">
        <v>43</v>
      </c>
      <c r="C57" s="5" t="s">
        <v>41</v>
      </c>
      <c r="D57" s="5" t="s">
        <v>34</v>
      </c>
      <c r="E57" s="6">
        <v>22.39</v>
      </c>
      <c r="F57" s="6">
        <v>62.24</v>
      </c>
    </row>
    <row r="58" spans="1:6" x14ac:dyDescent="0.3">
      <c r="A58" s="5" t="s">
        <v>26</v>
      </c>
      <c r="B58" s="5" t="s">
        <v>43</v>
      </c>
      <c r="C58" s="5" t="s">
        <v>41</v>
      </c>
      <c r="D58" s="5" t="s">
        <v>35</v>
      </c>
      <c r="E58" s="6">
        <v>21.99</v>
      </c>
      <c r="F58" s="6">
        <v>65.06</v>
      </c>
    </row>
    <row r="59" spans="1:6" x14ac:dyDescent="0.3">
      <c r="A59" s="5" t="s">
        <v>26</v>
      </c>
      <c r="B59" s="5" t="s">
        <v>43</v>
      </c>
      <c r="C59" s="5" t="s">
        <v>41</v>
      </c>
      <c r="D59" s="5" t="s">
        <v>36</v>
      </c>
      <c r="E59" s="6">
        <v>22.76</v>
      </c>
      <c r="F59" s="6">
        <v>71.680000000000007</v>
      </c>
    </row>
    <row r="60" spans="1:6" x14ac:dyDescent="0.3">
      <c r="A60" s="5" t="s">
        <v>26</v>
      </c>
      <c r="B60" s="5" t="s">
        <v>43</v>
      </c>
      <c r="C60" s="5" t="s">
        <v>41</v>
      </c>
      <c r="D60" s="5" t="s">
        <v>37</v>
      </c>
      <c r="E60" s="6">
        <v>22.86</v>
      </c>
      <c r="F60" s="6">
        <v>71.89</v>
      </c>
    </row>
    <row r="61" spans="1:6" x14ac:dyDescent="0.3">
      <c r="A61" s="5" t="s">
        <v>26</v>
      </c>
      <c r="B61" s="5" t="s">
        <v>43</v>
      </c>
      <c r="C61" s="5" t="s">
        <v>41</v>
      </c>
      <c r="D61" s="5" t="s">
        <v>38</v>
      </c>
      <c r="E61" s="6">
        <v>22.84</v>
      </c>
      <c r="F61" s="6">
        <v>69.13</v>
      </c>
    </row>
    <row r="62" spans="1:6" x14ac:dyDescent="0.3">
      <c r="A62" s="5" t="s">
        <v>26</v>
      </c>
      <c r="B62" s="5" t="s">
        <v>44</v>
      </c>
      <c r="C62" s="5" t="s">
        <v>41</v>
      </c>
      <c r="D62" s="5" t="s">
        <v>29</v>
      </c>
      <c r="E62" s="6">
        <v>0.02</v>
      </c>
      <c r="F62" s="6">
        <v>0.02</v>
      </c>
    </row>
    <row r="63" spans="1:6" x14ac:dyDescent="0.3">
      <c r="A63" s="5" t="s">
        <v>26</v>
      </c>
      <c r="B63" s="5" t="s">
        <v>44</v>
      </c>
      <c r="C63" s="5" t="s">
        <v>41</v>
      </c>
      <c r="D63" s="5" t="s">
        <v>30</v>
      </c>
      <c r="E63" s="6">
        <v>0.01</v>
      </c>
      <c r="F63" s="6">
        <v>0.01</v>
      </c>
    </row>
    <row r="64" spans="1:6" x14ac:dyDescent="0.3">
      <c r="A64" s="5" t="s">
        <v>26</v>
      </c>
      <c r="B64" s="5" t="s">
        <v>44</v>
      </c>
      <c r="C64" s="5" t="s">
        <v>41</v>
      </c>
      <c r="D64" s="5" t="s">
        <v>31</v>
      </c>
      <c r="E64" s="6">
        <v>0.01</v>
      </c>
      <c r="F64" s="6">
        <v>0.01</v>
      </c>
    </row>
    <row r="65" spans="1:6" x14ac:dyDescent="0.3">
      <c r="A65" s="5" t="s">
        <v>26</v>
      </c>
      <c r="B65" s="5" t="s">
        <v>44</v>
      </c>
      <c r="C65" s="5" t="s">
        <v>41</v>
      </c>
      <c r="D65" s="5" t="s">
        <v>32</v>
      </c>
      <c r="E65" s="6">
        <v>0.01</v>
      </c>
      <c r="F65" s="6">
        <v>0.01</v>
      </c>
    </row>
    <row r="66" spans="1:6" x14ac:dyDescent="0.3">
      <c r="A66" s="5" t="s">
        <v>26</v>
      </c>
      <c r="B66" s="5" t="s">
        <v>44</v>
      </c>
      <c r="C66" s="5" t="s">
        <v>41</v>
      </c>
      <c r="D66" s="5" t="s">
        <v>33</v>
      </c>
      <c r="E66" s="6">
        <v>0.01</v>
      </c>
      <c r="F66" s="6">
        <v>0.01</v>
      </c>
    </row>
    <row r="67" spans="1:6" x14ac:dyDescent="0.3">
      <c r="A67" s="5" t="s">
        <v>26</v>
      </c>
      <c r="B67" s="5" t="s">
        <v>44</v>
      </c>
      <c r="C67" s="5" t="s">
        <v>41</v>
      </c>
      <c r="D67" s="5" t="s">
        <v>34</v>
      </c>
      <c r="E67" s="6">
        <v>0.01</v>
      </c>
      <c r="F67" s="6">
        <v>0.02</v>
      </c>
    </row>
    <row r="68" spans="1:6" x14ac:dyDescent="0.3">
      <c r="A68" s="5" t="s">
        <v>26</v>
      </c>
      <c r="B68" s="5" t="s">
        <v>44</v>
      </c>
      <c r="C68" s="5" t="s">
        <v>41</v>
      </c>
      <c r="D68" s="5" t="s">
        <v>35</v>
      </c>
      <c r="E68" s="6">
        <v>0.01</v>
      </c>
      <c r="F68" s="6">
        <v>0.01</v>
      </c>
    </row>
    <row r="69" spans="1:6" x14ac:dyDescent="0.3">
      <c r="A69" s="5" t="s">
        <v>26</v>
      </c>
      <c r="B69" s="5" t="s">
        <v>44</v>
      </c>
      <c r="C69" s="5" t="s">
        <v>41</v>
      </c>
      <c r="D69" s="5" t="s">
        <v>36</v>
      </c>
      <c r="E69" s="6">
        <v>0.01</v>
      </c>
      <c r="F69" s="6">
        <v>0.01</v>
      </c>
    </row>
    <row r="70" spans="1:6" x14ac:dyDescent="0.3">
      <c r="A70" s="5" t="s">
        <v>26</v>
      </c>
      <c r="B70" s="5" t="s">
        <v>44</v>
      </c>
      <c r="C70" s="5" t="s">
        <v>41</v>
      </c>
      <c r="D70" s="5" t="s">
        <v>37</v>
      </c>
      <c r="E70" s="6">
        <v>0.01</v>
      </c>
      <c r="F70" s="6">
        <v>0.01</v>
      </c>
    </row>
    <row r="71" spans="1:6" x14ac:dyDescent="0.3">
      <c r="A71" s="5" t="s">
        <v>26</v>
      </c>
      <c r="B71" s="5" t="s">
        <v>44</v>
      </c>
      <c r="C71" s="5" t="s">
        <v>41</v>
      </c>
      <c r="D71" s="5" t="s">
        <v>38</v>
      </c>
      <c r="E71" s="6">
        <v>0.01</v>
      </c>
      <c r="F71" s="6">
        <v>0.01</v>
      </c>
    </row>
    <row r="72" spans="1:6" x14ac:dyDescent="0.3">
      <c r="A72" s="5" t="s">
        <v>26</v>
      </c>
      <c r="B72" s="5" t="s">
        <v>45</v>
      </c>
      <c r="C72" s="5" t="s">
        <v>41</v>
      </c>
      <c r="D72" s="5" t="s">
        <v>29</v>
      </c>
      <c r="E72" s="6">
        <v>0.04</v>
      </c>
      <c r="F72" s="6">
        <v>0.04</v>
      </c>
    </row>
    <row r="73" spans="1:6" x14ac:dyDescent="0.3">
      <c r="A73" s="5" t="s">
        <v>26</v>
      </c>
      <c r="B73" s="5" t="s">
        <v>45</v>
      </c>
      <c r="C73" s="5" t="s">
        <v>41</v>
      </c>
      <c r="D73" s="5" t="s">
        <v>30</v>
      </c>
      <c r="E73" s="6">
        <v>0.04</v>
      </c>
      <c r="F73" s="6">
        <v>0.05</v>
      </c>
    </row>
    <row r="74" spans="1:6" x14ac:dyDescent="0.3">
      <c r="A74" s="5" t="s">
        <v>26</v>
      </c>
      <c r="B74" s="5" t="s">
        <v>45</v>
      </c>
      <c r="C74" s="5" t="s">
        <v>41</v>
      </c>
      <c r="D74" s="5" t="s">
        <v>31</v>
      </c>
      <c r="E74" s="6">
        <v>0.03</v>
      </c>
      <c r="F74" s="6">
        <v>0.04</v>
      </c>
    </row>
    <row r="75" spans="1:6" x14ac:dyDescent="0.3">
      <c r="A75" s="5" t="s">
        <v>26</v>
      </c>
      <c r="B75" s="5" t="s">
        <v>45</v>
      </c>
      <c r="C75" s="5" t="s">
        <v>41</v>
      </c>
      <c r="D75" s="5" t="s">
        <v>32</v>
      </c>
      <c r="E75" s="6">
        <v>0.03</v>
      </c>
      <c r="F75" s="6">
        <v>0.04</v>
      </c>
    </row>
    <row r="76" spans="1:6" x14ac:dyDescent="0.3">
      <c r="A76" s="5" t="s">
        <v>26</v>
      </c>
      <c r="B76" s="5" t="s">
        <v>45</v>
      </c>
      <c r="C76" s="5" t="s">
        <v>41</v>
      </c>
      <c r="D76" s="5" t="s">
        <v>33</v>
      </c>
      <c r="E76" s="6">
        <v>0.04</v>
      </c>
      <c r="F76" s="6">
        <v>0.05</v>
      </c>
    </row>
    <row r="77" spans="1:6" x14ac:dyDescent="0.3">
      <c r="A77" s="5" t="s">
        <v>26</v>
      </c>
      <c r="B77" s="5" t="s">
        <v>45</v>
      </c>
      <c r="C77" s="5" t="s">
        <v>41</v>
      </c>
      <c r="D77" s="5" t="s">
        <v>34</v>
      </c>
      <c r="E77" s="6">
        <v>0.03</v>
      </c>
      <c r="F77" s="6">
        <v>0.03</v>
      </c>
    </row>
    <row r="78" spans="1:6" x14ac:dyDescent="0.3">
      <c r="A78" s="5" t="s">
        <v>26</v>
      </c>
      <c r="B78" s="5" t="s">
        <v>45</v>
      </c>
      <c r="C78" s="5" t="s">
        <v>41</v>
      </c>
      <c r="D78" s="5" t="s">
        <v>35</v>
      </c>
      <c r="E78" s="6">
        <v>0.02</v>
      </c>
      <c r="F78" s="6">
        <v>0.03</v>
      </c>
    </row>
    <row r="79" spans="1:6" x14ac:dyDescent="0.3">
      <c r="A79" s="5" t="s">
        <v>26</v>
      </c>
      <c r="B79" s="5" t="s">
        <v>45</v>
      </c>
      <c r="C79" s="5" t="s">
        <v>41</v>
      </c>
      <c r="D79" s="5" t="s">
        <v>36</v>
      </c>
      <c r="E79" s="6">
        <v>0.03</v>
      </c>
      <c r="F79" s="6">
        <v>0.03</v>
      </c>
    </row>
    <row r="80" spans="1:6" x14ac:dyDescent="0.3">
      <c r="A80" s="5" t="s">
        <v>26</v>
      </c>
      <c r="B80" s="5" t="s">
        <v>45</v>
      </c>
      <c r="C80" s="5" t="s">
        <v>41</v>
      </c>
      <c r="D80" s="5" t="s">
        <v>37</v>
      </c>
      <c r="E80" s="6">
        <v>0.03</v>
      </c>
      <c r="F80" s="6">
        <v>0.03</v>
      </c>
    </row>
    <row r="81" spans="1:6" x14ac:dyDescent="0.3">
      <c r="A81" s="5" t="s">
        <v>26</v>
      </c>
      <c r="B81" s="5" t="s">
        <v>45</v>
      </c>
      <c r="C81" s="5" t="s">
        <v>41</v>
      </c>
      <c r="D81" s="5" t="s">
        <v>38</v>
      </c>
      <c r="E81" s="6">
        <v>0.02</v>
      </c>
      <c r="F81" s="6">
        <v>0.02</v>
      </c>
    </row>
    <row r="82" spans="1:6" x14ac:dyDescent="0.3">
      <c r="A82" s="5" t="s">
        <v>26</v>
      </c>
      <c r="B82" s="5" t="s">
        <v>46</v>
      </c>
      <c r="C82" s="5" t="s">
        <v>41</v>
      </c>
      <c r="D82" s="5" t="s">
        <v>29</v>
      </c>
      <c r="E82" s="6">
        <v>0.05</v>
      </c>
      <c r="F82" s="6">
        <v>0.03</v>
      </c>
    </row>
    <row r="83" spans="1:6" x14ac:dyDescent="0.3">
      <c r="A83" s="5" t="s">
        <v>26</v>
      </c>
      <c r="B83" s="5" t="s">
        <v>46</v>
      </c>
      <c r="C83" s="5" t="s">
        <v>41</v>
      </c>
      <c r="D83" s="5" t="s">
        <v>30</v>
      </c>
      <c r="E83" s="6">
        <v>0.04</v>
      </c>
      <c r="F83" s="6">
        <v>0.04</v>
      </c>
    </row>
    <row r="84" spans="1:6" x14ac:dyDescent="0.3">
      <c r="A84" s="5" t="s">
        <v>26</v>
      </c>
      <c r="B84" s="5" t="s">
        <v>46</v>
      </c>
      <c r="C84" s="5" t="s">
        <v>41</v>
      </c>
      <c r="D84" s="5" t="s">
        <v>31</v>
      </c>
      <c r="E84" s="6">
        <v>0.03</v>
      </c>
      <c r="F84" s="6">
        <v>0.03</v>
      </c>
    </row>
    <row r="85" spans="1:6" x14ac:dyDescent="0.3">
      <c r="A85" s="5" t="s">
        <v>26</v>
      </c>
      <c r="B85" s="5" t="s">
        <v>46</v>
      </c>
      <c r="C85" s="5" t="s">
        <v>41</v>
      </c>
      <c r="D85" s="5" t="s">
        <v>32</v>
      </c>
      <c r="E85" s="6">
        <v>0.03</v>
      </c>
      <c r="F85" s="6">
        <v>0.02</v>
      </c>
    </row>
    <row r="86" spans="1:6" x14ac:dyDescent="0.3">
      <c r="A86" s="5" t="s">
        <v>26</v>
      </c>
      <c r="B86" s="5" t="s">
        <v>46</v>
      </c>
      <c r="C86" s="5" t="s">
        <v>41</v>
      </c>
      <c r="D86" s="5" t="s">
        <v>33</v>
      </c>
      <c r="E86" s="6">
        <v>0.03</v>
      </c>
      <c r="F86" s="6">
        <v>0.03</v>
      </c>
    </row>
    <row r="87" spans="1:6" x14ac:dyDescent="0.3">
      <c r="A87" s="5" t="s">
        <v>26</v>
      </c>
      <c r="B87" s="5" t="s">
        <v>46</v>
      </c>
      <c r="C87" s="5" t="s">
        <v>41</v>
      </c>
      <c r="D87" s="5" t="s">
        <v>34</v>
      </c>
      <c r="E87" s="6">
        <v>0.02</v>
      </c>
      <c r="F87" s="6">
        <v>0.02</v>
      </c>
    </row>
    <row r="88" spans="1:6" x14ac:dyDescent="0.3">
      <c r="A88" s="5" t="s">
        <v>26</v>
      </c>
      <c r="B88" s="5" t="s">
        <v>46</v>
      </c>
      <c r="C88" s="5" t="s">
        <v>41</v>
      </c>
      <c r="D88" s="5" t="s">
        <v>35</v>
      </c>
      <c r="E88" s="6">
        <v>0.02</v>
      </c>
      <c r="F88" s="6">
        <v>0.02</v>
      </c>
    </row>
    <row r="89" spans="1:6" x14ac:dyDescent="0.3">
      <c r="A89" s="5" t="s">
        <v>26</v>
      </c>
      <c r="B89" s="5" t="s">
        <v>46</v>
      </c>
      <c r="C89" s="5" t="s">
        <v>41</v>
      </c>
      <c r="D89" s="5" t="s">
        <v>36</v>
      </c>
      <c r="E89" s="6">
        <v>0.02</v>
      </c>
      <c r="F89" s="6">
        <v>0.02</v>
      </c>
    </row>
    <row r="90" spans="1:6" x14ac:dyDescent="0.3">
      <c r="A90" s="5" t="s">
        <v>26</v>
      </c>
      <c r="B90" s="5" t="s">
        <v>46</v>
      </c>
      <c r="C90" s="5" t="s">
        <v>41</v>
      </c>
      <c r="D90" s="5" t="s">
        <v>37</v>
      </c>
      <c r="E90" s="6">
        <v>0.02</v>
      </c>
      <c r="F90" s="6">
        <v>0.02</v>
      </c>
    </row>
    <row r="91" spans="1:6" x14ac:dyDescent="0.3">
      <c r="A91" s="5" t="s">
        <v>26</v>
      </c>
      <c r="B91" s="5" t="s">
        <v>46</v>
      </c>
      <c r="C91" s="5" t="s">
        <v>41</v>
      </c>
      <c r="D91" s="5" t="s">
        <v>38</v>
      </c>
      <c r="E91" s="6">
        <v>0.02</v>
      </c>
      <c r="F91" s="6">
        <v>0.02</v>
      </c>
    </row>
    <row r="92" spans="1:6" x14ac:dyDescent="0.3">
      <c r="A92" s="5" t="s">
        <v>26</v>
      </c>
      <c r="B92" s="5" t="s">
        <v>47</v>
      </c>
      <c r="C92" s="5" t="s">
        <v>41</v>
      </c>
      <c r="D92" s="5" t="s">
        <v>29</v>
      </c>
      <c r="E92" s="6">
        <v>2.4</v>
      </c>
      <c r="F92" s="6">
        <v>130.36000000000001</v>
      </c>
    </row>
    <row r="93" spans="1:6" x14ac:dyDescent="0.3">
      <c r="A93" s="5" t="s">
        <v>26</v>
      </c>
      <c r="B93" s="5" t="s">
        <v>47</v>
      </c>
      <c r="C93" s="5" t="s">
        <v>41</v>
      </c>
      <c r="D93" s="5" t="s">
        <v>30</v>
      </c>
      <c r="E93" s="6">
        <v>2.34</v>
      </c>
      <c r="F93" s="6">
        <v>138.25</v>
      </c>
    </row>
    <row r="94" spans="1:6" x14ac:dyDescent="0.3">
      <c r="A94" s="5" t="s">
        <v>26</v>
      </c>
      <c r="B94" s="5" t="s">
        <v>47</v>
      </c>
      <c r="C94" s="5" t="s">
        <v>41</v>
      </c>
      <c r="D94" s="5" t="s">
        <v>31</v>
      </c>
      <c r="E94" s="6">
        <v>2.2599999999999998</v>
      </c>
      <c r="F94" s="6">
        <v>201.16</v>
      </c>
    </row>
    <row r="95" spans="1:6" x14ac:dyDescent="0.3">
      <c r="A95" s="5" t="s">
        <v>26</v>
      </c>
      <c r="B95" s="5" t="s">
        <v>47</v>
      </c>
      <c r="C95" s="5" t="s">
        <v>41</v>
      </c>
      <c r="D95" s="5" t="s">
        <v>32</v>
      </c>
      <c r="E95" s="6">
        <v>2.2400000000000002</v>
      </c>
      <c r="F95" s="6">
        <v>135.79</v>
      </c>
    </row>
    <row r="96" spans="1:6" x14ac:dyDescent="0.3">
      <c r="A96" s="5" t="s">
        <v>26</v>
      </c>
      <c r="B96" s="5" t="s">
        <v>47</v>
      </c>
      <c r="C96" s="5" t="s">
        <v>41</v>
      </c>
      <c r="D96" s="5" t="s">
        <v>33</v>
      </c>
      <c r="E96" s="6">
        <v>2.21</v>
      </c>
      <c r="F96" s="6">
        <v>121.1</v>
      </c>
    </row>
    <row r="97" spans="1:6" x14ac:dyDescent="0.3">
      <c r="A97" s="5" t="s">
        <v>26</v>
      </c>
      <c r="B97" s="5" t="s">
        <v>47</v>
      </c>
      <c r="C97" s="5" t="s">
        <v>41</v>
      </c>
      <c r="D97" s="5" t="s">
        <v>34</v>
      </c>
      <c r="E97" s="6">
        <v>2.11</v>
      </c>
      <c r="F97" s="6">
        <v>120.26</v>
      </c>
    </row>
    <row r="98" spans="1:6" x14ac:dyDescent="0.3">
      <c r="A98" s="5" t="s">
        <v>26</v>
      </c>
      <c r="B98" s="5" t="s">
        <v>47</v>
      </c>
      <c r="C98" s="5" t="s">
        <v>41</v>
      </c>
      <c r="D98" s="5" t="s">
        <v>35</v>
      </c>
      <c r="E98" s="6">
        <v>2.1</v>
      </c>
      <c r="F98" s="6">
        <v>127.43</v>
      </c>
    </row>
    <row r="99" spans="1:6" x14ac:dyDescent="0.3">
      <c r="A99" s="5" t="s">
        <v>26</v>
      </c>
      <c r="B99" s="5" t="s">
        <v>47</v>
      </c>
      <c r="C99" s="5" t="s">
        <v>41</v>
      </c>
      <c r="D99" s="5" t="s">
        <v>36</v>
      </c>
      <c r="E99" s="6">
        <v>2.02</v>
      </c>
      <c r="F99" s="6">
        <v>120.84</v>
      </c>
    </row>
    <row r="100" spans="1:6" x14ac:dyDescent="0.3">
      <c r="A100" s="5" t="s">
        <v>26</v>
      </c>
      <c r="B100" s="5" t="s">
        <v>47</v>
      </c>
      <c r="C100" s="5" t="s">
        <v>41</v>
      </c>
      <c r="D100" s="5" t="s">
        <v>37</v>
      </c>
      <c r="E100" s="6">
        <v>1.93</v>
      </c>
      <c r="F100" s="6">
        <v>121.49</v>
      </c>
    </row>
    <row r="101" spans="1:6" x14ac:dyDescent="0.3">
      <c r="A101" s="5" t="s">
        <v>26</v>
      </c>
      <c r="B101" s="5" t="s">
        <v>47</v>
      </c>
      <c r="C101" s="5" t="s">
        <v>41</v>
      </c>
      <c r="D101" s="5" t="s">
        <v>38</v>
      </c>
      <c r="E101" s="6">
        <v>2.15</v>
      </c>
      <c r="F101" s="6">
        <v>151.09</v>
      </c>
    </row>
    <row r="102" spans="1:6" x14ac:dyDescent="0.3">
      <c r="A102" s="5" t="s">
        <v>48</v>
      </c>
      <c r="B102" s="5" t="s">
        <v>27</v>
      </c>
      <c r="C102" s="5" t="s">
        <v>28</v>
      </c>
      <c r="D102" s="5" t="s">
        <v>29</v>
      </c>
      <c r="E102" s="6">
        <v>0.05</v>
      </c>
      <c r="F102" s="6">
        <v>0.17</v>
      </c>
    </row>
    <row r="103" spans="1:6" x14ac:dyDescent="0.3">
      <c r="A103" s="5" t="s">
        <v>48</v>
      </c>
      <c r="B103" s="5" t="s">
        <v>27</v>
      </c>
      <c r="C103" s="5" t="s">
        <v>28</v>
      </c>
      <c r="D103" s="5" t="s">
        <v>30</v>
      </c>
      <c r="E103" s="6">
        <v>0.06</v>
      </c>
      <c r="F103" s="6">
        <v>0.19</v>
      </c>
    </row>
    <row r="104" spans="1:6" x14ac:dyDescent="0.3">
      <c r="A104" s="5" t="s">
        <v>48</v>
      </c>
      <c r="B104" s="5" t="s">
        <v>27</v>
      </c>
      <c r="C104" s="5" t="s">
        <v>28</v>
      </c>
      <c r="D104" s="5" t="s">
        <v>31</v>
      </c>
      <c r="E104" s="6">
        <v>0.06</v>
      </c>
      <c r="F104" s="6">
        <v>0.16</v>
      </c>
    </row>
    <row r="105" spans="1:6" x14ac:dyDescent="0.3">
      <c r="A105" s="5" t="s">
        <v>48</v>
      </c>
      <c r="B105" s="5" t="s">
        <v>27</v>
      </c>
      <c r="C105" s="5" t="s">
        <v>28</v>
      </c>
      <c r="D105" s="5" t="s">
        <v>32</v>
      </c>
      <c r="E105" s="6">
        <v>0.06</v>
      </c>
      <c r="F105" s="6">
        <v>0.17</v>
      </c>
    </row>
    <row r="106" spans="1:6" x14ac:dyDescent="0.3">
      <c r="A106" s="5" t="s">
        <v>48</v>
      </c>
      <c r="B106" s="5" t="s">
        <v>27</v>
      </c>
      <c r="C106" s="5" t="s">
        <v>28</v>
      </c>
      <c r="D106" s="5" t="s">
        <v>33</v>
      </c>
      <c r="E106" s="6">
        <v>7.0000000000000007E-2</v>
      </c>
      <c r="F106" s="6">
        <v>0.2</v>
      </c>
    </row>
    <row r="107" spans="1:6" x14ac:dyDescent="0.3">
      <c r="A107" s="5" t="s">
        <v>48</v>
      </c>
      <c r="B107" s="5" t="s">
        <v>27</v>
      </c>
      <c r="C107" s="5" t="s">
        <v>28</v>
      </c>
      <c r="D107" s="5" t="s">
        <v>34</v>
      </c>
      <c r="E107" s="6">
        <v>0.05</v>
      </c>
      <c r="F107" s="6">
        <v>0.16</v>
      </c>
    </row>
    <row r="108" spans="1:6" x14ac:dyDescent="0.3">
      <c r="A108" s="5" t="s">
        <v>48</v>
      </c>
      <c r="B108" s="5" t="s">
        <v>27</v>
      </c>
      <c r="C108" s="5" t="s">
        <v>28</v>
      </c>
      <c r="D108" s="5" t="s">
        <v>35</v>
      </c>
      <c r="E108" s="6">
        <v>0.05</v>
      </c>
      <c r="F108" s="6">
        <v>0.16</v>
      </c>
    </row>
    <row r="109" spans="1:6" x14ac:dyDescent="0.3">
      <c r="A109" s="5" t="s">
        <v>48</v>
      </c>
      <c r="B109" s="5" t="s">
        <v>27</v>
      </c>
      <c r="C109" s="5" t="s">
        <v>28</v>
      </c>
      <c r="D109" s="5" t="s">
        <v>36</v>
      </c>
      <c r="E109" s="6">
        <v>0.05</v>
      </c>
      <c r="F109" s="6">
        <v>0.18</v>
      </c>
    </row>
    <row r="110" spans="1:6" x14ac:dyDescent="0.3">
      <c r="A110" s="5" t="s">
        <v>48</v>
      </c>
      <c r="B110" s="5" t="s">
        <v>27</v>
      </c>
      <c r="C110" s="5" t="s">
        <v>28</v>
      </c>
      <c r="D110" s="5" t="s">
        <v>37</v>
      </c>
      <c r="E110" s="6">
        <v>0.04</v>
      </c>
      <c r="F110" s="6">
        <v>0.16</v>
      </c>
    </row>
    <row r="111" spans="1:6" x14ac:dyDescent="0.3">
      <c r="A111" s="5" t="s">
        <v>48</v>
      </c>
      <c r="B111" s="5" t="s">
        <v>27</v>
      </c>
      <c r="C111" s="5" t="s">
        <v>28</v>
      </c>
      <c r="D111" s="5" t="s">
        <v>38</v>
      </c>
      <c r="E111" s="6">
        <v>0.04</v>
      </c>
      <c r="F111" s="6">
        <v>0.16</v>
      </c>
    </row>
    <row r="112" spans="1:6" x14ac:dyDescent="0.3">
      <c r="A112" s="5" t="s">
        <v>48</v>
      </c>
      <c r="B112" s="5" t="s">
        <v>27</v>
      </c>
      <c r="C112" s="5" t="s">
        <v>41</v>
      </c>
      <c r="D112" s="5" t="s">
        <v>29</v>
      </c>
      <c r="E112" s="6">
        <v>0.05</v>
      </c>
      <c r="F112" s="6">
        <v>0.17</v>
      </c>
    </row>
    <row r="113" spans="1:6" x14ac:dyDescent="0.3">
      <c r="A113" s="5" t="s">
        <v>48</v>
      </c>
      <c r="B113" s="5" t="s">
        <v>27</v>
      </c>
      <c r="C113" s="5" t="s">
        <v>41</v>
      </c>
      <c r="D113" s="5" t="s">
        <v>30</v>
      </c>
      <c r="E113" s="6">
        <v>0.06</v>
      </c>
      <c r="F113" s="6">
        <v>0.19</v>
      </c>
    </row>
    <row r="114" spans="1:6" x14ac:dyDescent="0.3">
      <c r="A114" s="5" t="s">
        <v>48</v>
      </c>
      <c r="B114" s="5" t="s">
        <v>27</v>
      </c>
      <c r="C114" s="5" t="s">
        <v>41</v>
      </c>
      <c r="D114" s="5" t="s">
        <v>31</v>
      </c>
      <c r="E114" s="6">
        <v>0.06</v>
      </c>
      <c r="F114" s="6">
        <v>0.16</v>
      </c>
    </row>
    <row r="115" spans="1:6" x14ac:dyDescent="0.3">
      <c r="A115" s="5" t="s">
        <v>48</v>
      </c>
      <c r="B115" s="5" t="s">
        <v>27</v>
      </c>
      <c r="C115" s="5" t="s">
        <v>41</v>
      </c>
      <c r="D115" s="5" t="s">
        <v>32</v>
      </c>
      <c r="E115" s="6">
        <v>0.06</v>
      </c>
      <c r="F115" s="6">
        <v>0.17</v>
      </c>
    </row>
    <row r="116" spans="1:6" x14ac:dyDescent="0.3">
      <c r="A116" s="5" t="s">
        <v>48</v>
      </c>
      <c r="B116" s="5" t="s">
        <v>27</v>
      </c>
      <c r="C116" s="5" t="s">
        <v>41</v>
      </c>
      <c r="D116" s="5" t="s">
        <v>33</v>
      </c>
      <c r="E116" s="6">
        <v>7.0000000000000007E-2</v>
      </c>
      <c r="F116" s="6">
        <v>0.2</v>
      </c>
    </row>
    <row r="117" spans="1:6" x14ac:dyDescent="0.3">
      <c r="A117" s="5" t="s">
        <v>48</v>
      </c>
      <c r="B117" s="5" t="s">
        <v>27</v>
      </c>
      <c r="C117" s="5" t="s">
        <v>41</v>
      </c>
      <c r="D117" s="5" t="s">
        <v>34</v>
      </c>
      <c r="E117" s="6">
        <v>0.05</v>
      </c>
      <c r="F117" s="6">
        <v>0.16</v>
      </c>
    </row>
    <row r="118" spans="1:6" x14ac:dyDescent="0.3">
      <c r="A118" s="5" t="s">
        <v>48</v>
      </c>
      <c r="B118" s="5" t="s">
        <v>27</v>
      </c>
      <c r="C118" s="5" t="s">
        <v>41</v>
      </c>
      <c r="D118" s="5" t="s">
        <v>35</v>
      </c>
      <c r="E118" s="6">
        <v>0.05</v>
      </c>
      <c r="F118" s="6">
        <v>0.16</v>
      </c>
    </row>
    <row r="119" spans="1:6" x14ac:dyDescent="0.3">
      <c r="A119" s="5" t="s">
        <v>48</v>
      </c>
      <c r="B119" s="5" t="s">
        <v>27</v>
      </c>
      <c r="C119" s="5" t="s">
        <v>41</v>
      </c>
      <c r="D119" s="5" t="s">
        <v>36</v>
      </c>
      <c r="E119" s="6">
        <v>0.05</v>
      </c>
      <c r="F119" s="6">
        <v>0.18</v>
      </c>
    </row>
    <row r="120" spans="1:6" x14ac:dyDescent="0.3">
      <c r="A120" s="5" t="s">
        <v>48</v>
      </c>
      <c r="B120" s="5" t="s">
        <v>27</v>
      </c>
      <c r="C120" s="5" t="s">
        <v>41</v>
      </c>
      <c r="D120" s="5" t="s">
        <v>37</v>
      </c>
      <c r="E120" s="6">
        <v>0.04</v>
      </c>
      <c r="F120" s="6">
        <v>0.16</v>
      </c>
    </row>
    <row r="121" spans="1:6" x14ac:dyDescent="0.3">
      <c r="A121" s="5" t="s">
        <v>48</v>
      </c>
      <c r="B121" s="5" t="s">
        <v>27</v>
      </c>
      <c r="C121" s="5" t="s">
        <v>41</v>
      </c>
      <c r="D121" s="5" t="s">
        <v>38</v>
      </c>
      <c r="E121" s="6">
        <v>0.04</v>
      </c>
      <c r="F121" s="6">
        <v>0.16</v>
      </c>
    </row>
    <row r="122" spans="1:6" x14ac:dyDescent="0.3">
      <c r="A122" s="5" t="s">
        <v>48</v>
      </c>
      <c r="B122" s="5" t="s">
        <v>42</v>
      </c>
      <c r="C122" s="5" t="s">
        <v>41</v>
      </c>
      <c r="D122" s="5" t="s">
        <v>29</v>
      </c>
      <c r="E122" s="6">
        <v>13.86</v>
      </c>
      <c r="F122" s="6">
        <v>44.53</v>
      </c>
    </row>
    <row r="123" spans="1:6" x14ac:dyDescent="0.3">
      <c r="A123" s="5" t="s">
        <v>48</v>
      </c>
      <c r="B123" s="5" t="s">
        <v>42</v>
      </c>
      <c r="C123" s="5" t="s">
        <v>41</v>
      </c>
      <c r="D123" s="5" t="s">
        <v>30</v>
      </c>
      <c r="E123" s="6">
        <v>14.22</v>
      </c>
      <c r="F123" s="6">
        <v>45.23</v>
      </c>
    </row>
    <row r="124" spans="1:6" x14ac:dyDescent="0.3">
      <c r="A124" s="5" t="s">
        <v>48</v>
      </c>
      <c r="B124" s="5" t="s">
        <v>42</v>
      </c>
      <c r="C124" s="5" t="s">
        <v>41</v>
      </c>
      <c r="D124" s="5" t="s">
        <v>31</v>
      </c>
      <c r="E124" s="6">
        <v>14.47</v>
      </c>
      <c r="F124" s="6">
        <v>45.16</v>
      </c>
    </row>
    <row r="125" spans="1:6" x14ac:dyDescent="0.3">
      <c r="A125" s="5" t="s">
        <v>48</v>
      </c>
      <c r="B125" s="5" t="s">
        <v>42</v>
      </c>
      <c r="C125" s="5" t="s">
        <v>41</v>
      </c>
      <c r="D125" s="5" t="s">
        <v>32</v>
      </c>
      <c r="E125" s="6">
        <v>14.47</v>
      </c>
      <c r="F125" s="6">
        <v>48.24</v>
      </c>
    </row>
    <row r="126" spans="1:6" x14ac:dyDescent="0.3">
      <c r="A126" s="5" t="s">
        <v>48</v>
      </c>
      <c r="B126" s="5" t="s">
        <v>42</v>
      </c>
      <c r="C126" s="5" t="s">
        <v>41</v>
      </c>
      <c r="D126" s="5" t="s">
        <v>33</v>
      </c>
      <c r="E126" s="6">
        <v>13.27</v>
      </c>
      <c r="F126" s="6">
        <v>44.25</v>
      </c>
    </row>
    <row r="127" spans="1:6" x14ac:dyDescent="0.3">
      <c r="A127" s="5" t="s">
        <v>48</v>
      </c>
      <c r="B127" s="5" t="s">
        <v>42</v>
      </c>
      <c r="C127" s="5" t="s">
        <v>41</v>
      </c>
      <c r="D127" s="5" t="s">
        <v>34</v>
      </c>
      <c r="E127" s="6">
        <v>12.81</v>
      </c>
      <c r="F127" s="6">
        <v>46.18</v>
      </c>
    </row>
    <row r="128" spans="1:6" x14ac:dyDescent="0.3">
      <c r="A128" s="5" t="s">
        <v>48</v>
      </c>
      <c r="B128" s="5" t="s">
        <v>42</v>
      </c>
      <c r="C128" s="5" t="s">
        <v>41</v>
      </c>
      <c r="D128" s="5" t="s">
        <v>35</v>
      </c>
      <c r="E128" s="6">
        <v>15.2</v>
      </c>
      <c r="F128" s="6">
        <v>51.09</v>
      </c>
    </row>
    <row r="129" spans="1:6" x14ac:dyDescent="0.3">
      <c r="A129" s="5" t="s">
        <v>48</v>
      </c>
      <c r="B129" s="5" t="s">
        <v>42</v>
      </c>
      <c r="C129" s="5" t="s">
        <v>41</v>
      </c>
      <c r="D129" s="5" t="s">
        <v>36</v>
      </c>
      <c r="E129" s="6">
        <v>15.63</v>
      </c>
      <c r="F129" s="6">
        <v>59.76</v>
      </c>
    </row>
    <row r="130" spans="1:6" x14ac:dyDescent="0.3">
      <c r="A130" s="5" t="s">
        <v>48</v>
      </c>
      <c r="B130" s="5" t="s">
        <v>42</v>
      </c>
      <c r="C130" s="5" t="s">
        <v>41</v>
      </c>
      <c r="D130" s="5" t="s">
        <v>37</v>
      </c>
      <c r="E130" s="6">
        <v>16.09</v>
      </c>
      <c r="F130" s="6">
        <v>60.6</v>
      </c>
    </row>
    <row r="131" spans="1:6" x14ac:dyDescent="0.3">
      <c r="A131" s="5" t="s">
        <v>48</v>
      </c>
      <c r="B131" s="5" t="s">
        <v>42</v>
      </c>
      <c r="C131" s="5" t="s">
        <v>41</v>
      </c>
      <c r="D131" s="5" t="s">
        <v>38</v>
      </c>
      <c r="E131" s="6">
        <v>17.260000000000002</v>
      </c>
      <c r="F131" s="6">
        <v>61.62</v>
      </c>
    </row>
    <row r="132" spans="1:6" x14ac:dyDescent="0.3">
      <c r="A132" s="5" t="s">
        <v>48</v>
      </c>
      <c r="B132" s="5" t="s">
        <v>43</v>
      </c>
      <c r="C132" s="5" t="s">
        <v>41</v>
      </c>
      <c r="D132" s="5" t="s">
        <v>29</v>
      </c>
      <c r="E132" s="6">
        <v>25.58</v>
      </c>
      <c r="F132" s="6">
        <v>115.47</v>
      </c>
    </row>
    <row r="133" spans="1:6" x14ac:dyDescent="0.3">
      <c r="A133" s="5" t="s">
        <v>48</v>
      </c>
      <c r="B133" s="5" t="s">
        <v>43</v>
      </c>
      <c r="C133" s="5" t="s">
        <v>41</v>
      </c>
      <c r="D133" s="5" t="s">
        <v>30</v>
      </c>
      <c r="E133" s="6">
        <v>24.4</v>
      </c>
      <c r="F133" s="6">
        <v>107.65</v>
      </c>
    </row>
    <row r="134" spans="1:6" x14ac:dyDescent="0.3">
      <c r="A134" s="5" t="s">
        <v>48</v>
      </c>
      <c r="B134" s="5" t="s">
        <v>43</v>
      </c>
      <c r="C134" s="5" t="s">
        <v>41</v>
      </c>
      <c r="D134" s="5" t="s">
        <v>31</v>
      </c>
      <c r="E134" s="6">
        <v>25.53</v>
      </c>
      <c r="F134" s="6">
        <v>125.74</v>
      </c>
    </row>
    <row r="135" spans="1:6" x14ac:dyDescent="0.3">
      <c r="A135" s="5" t="s">
        <v>48</v>
      </c>
      <c r="B135" s="5" t="s">
        <v>43</v>
      </c>
      <c r="C135" s="5" t="s">
        <v>41</v>
      </c>
      <c r="D135" s="5" t="s">
        <v>32</v>
      </c>
      <c r="E135" s="6">
        <v>25.34</v>
      </c>
      <c r="F135" s="6">
        <v>118.76</v>
      </c>
    </row>
    <row r="136" spans="1:6" x14ac:dyDescent="0.3">
      <c r="A136" s="5" t="s">
        <v>48</v>
      </c>
      <c r="B136" s="5" t="s">
        <v>43</v>
      </c>
      <c r="C136" s="5" t="s">
        <v>41</v>
      </c>
      <c r="D136" s="5" t="s">
        <v>33</v>
      </c>
      <c r="E136" s="6">
        <v>25.64</v>
      </c>
      <c r="F136" s="6">
        <v>123.94</v>
      </c>
    </row>
    <row r="137" spans="1:6" x14ac:dyDescent="0.3">
      <c r="A137" s="5" t="s">
        <v>48</v>
      </c>
      <c r="B137" s="5" t="s">
        <v>43</v>
      </c>
      <c r="C137" s="5" t="s">
        <v>41</v>
      </c>
      <c r="D137" s="5" t="s">
        <v>34</v>
      </c>
      <c r="E137" s="6">
        <v>23.05</v>
      </c>
      <c r="F137" s="6">
        <v>104.47</v>
      </c>
    </row>
    <row r="138" spans="1:6" x14ac:dyDescent="0.3">
      <c r="A138" s="5" t="s">
        <v>48</v>
      </c>
      <c r="B138" s="5" t="s">
        <v>43</v>
      </c>
      <c r="C138" s="5" t="s">
        <v>41</v>
      </c>
      <c r="D138" s="5" t="s">
        <v>35</v>
      </c>
      <c r="E138" s="6">
        <v>23.23</v>
      </c>
      <c r="F138" s="6">
        <v>109.29</v>
      </c>
    </row>
    <row r="139" spans="1:6" x14ac:dyDescent="0.3">
      <c r="A139" s="5" t="s">
        <v>48</v>
      </c>
      <c r="B139" s="5" t="s">
        <v>43</v>
      </c>
      <c r="C139" s="5" t="s">
        <v>41</v>
      </c>
      <c r="D139" s="5" t="s">
        <v>36</v>
      </c>
      <c r="E139" s="6">
        <v>23.7</v>
      </c>
      <c r="F139" s="6">
        <v>111.91</v>
      </c>
    </row>
    <row r="140" spans="1:6" x14ac:dyDescent="0.3">
      <c r="A140" s="5" t="s">
        <v>48</v>
      </c>
      <c r="B140" s="5" t="s">
        <v>43</v>
      </c>
      <c r="C140" s="5" t="s">
        <v>41</v>
      </c>
      <c r="D140" s="5" t="s">
        <v>37</v>
      </c>
      <c r="E140" s="6">
        <v>23.88</v>
      </c>
      <c r="F140" s="6">
        <v>114</v>
      </c>
    </row>
    <row r="141" spans="1:6" x14ac:dyDescent="0.3">
      <c r="A141" s="5" t="s">
        <v>48</v>
      </c>
      <c r="B141" s="5" t="s">
        <v>43</v>
      </c>
      <c r="C141" s="5" t="s">
        <v>41</v>
      </c>
      <c r="D141" s="5" t="s">
        <v>38</v>
      </c>
      <c r="E141" s="6">
        <v>24.47</v>
      </c>
      <c r="F141" s="6">
        <v>116.44</v>
      </c>
    </row>
    <row r="142" spans="1:6" x14ac:dyDescent="0.3">
      <c r="A142" s="5" t="s">
        <v>48</v>
      </c>
      <c r="B142" s="5" t="s">
        <v>44</v>
      </c>
      <c r="C142" s="5" t="s">
        <v>41</v>
      </c>
      <c r="D142" s="5" t="s">
        <v>29</v>
      </c>
      <c r="E142" s="6">
        <v>0.62</v>
      </c>
      <c r="F142" s="6">
        <v>0.33</v>
      </c>
    </row>
    <row r="143" spans="1:6" x14ac:dyDescent="0.3">
      <c r="A143" s="5" t="s">
        <v>48</v>
      </c>
      <c r="B143" s="5" t="s">
        <v>44</v>
      </c>
      <c r="C143" s="5" t="s">
        <v>41</v>
      </c>
      <c r="D143" s="5" t="s">
        <v>30</v>
      </c>
      <c r="E143" s="6">
        <v>0.48</v>
      </c>
      <c r="F143" s="6">
        <v>0.25</v>
      </c>
    </row>
    <row r="144" spans="1:6" x14ac:dyDescent="0.3">
      <c r="A144" s="5" t="s">
        <v>48</v>
      </c>
      <c r="B144" s="5" t="s">
        <v>44</v>
      </c>
      <c r="C144" s="5" t="s">
        <v>41</v>
      </c>
      <c r="D144" s="5" t="s">
        <v>31</v>
      </c>
      <c r="E144" s="6">
        <v>0.4</v>
      </c>
      <c r="F144" s="6">
        <v>0.21</v>
      </c>
    </row>
    <row r="145" spans="1:6" x14ac:dyDescent="0.3">
      <c r="A145" s="5" t="s">
        <v>48</v>
      </c>
      <c r="B145" s="5" t="s">
        <v>44</v>
      </c>
      <c r="C145" s="5" t="s">
        <v>41</v>
      </c>
      <c r="D145" s="5" t="s">
        <v>32</v>
      </c>
      <c r="E145" s="6">
        <v>0.3</v>
      </c>
      <c r="F145" s="6">
        <v>0.16</v>
      </c>
    </row>
    <row r="146" spans="1:6" x14ac:dyDescent="0.3">
      <c r="A146" s="5" t="s">
        <v>48</v>
      </c>
      <c r="B146" s="5" t="s">
        <v>44</v>
      </c>
      <c r="C146" s="5" t="s">
        <v>41</v>
      </c>
      <c r="D146" s="5" t="s">
        <v>33</v>
      </c>
      <c r="E146" s="6">
        <v>0.31</v>
      </c>
      <c r="F146" s="6">
        <v>0.16</v>
      </c>
    </row>
    <row r="147" spans="1:6" x14ac:dyDescent="0.3">
      <c r="A147" s="5" t="s">
        <v>48</v>
      </c>
      <c r="B147" s="5" t="s">
        <v>44</v>
      </c>
      <c r="C147" s="5" t="s">
        <v>41</v>
      </c>
      <c r="D147" s="5" t="s">
        <v>34</v>
      </c>
      <c r="E147" s="6">
        <v>0.23</v>
      </c>
      <c r="F147" s="6">
        <v>0.12</v>
      </c>
    </row>
    <row r="148" spans="1:6" x14ac:dyDescent="0.3">
      <c r="A148" s="5" t="s">
        <v>48</v>
      </c>
      <c r="B148" s="5" t="s">
        <v>44</v>
      </c>
      <c r="C148" s="5" t="s">
        <v>41</v>
      </c>
      <c r="D148" s="5" t="s">
        <v>35</v>
      </c>
      <c r="E148" s="6">
        <v>0.27</v>
      </c>
      <c r="F148" s="6">
        <v>0.14000000000000001</v>
      </c>
    </row>
    <row r="149" spans="1:6" x14ac:dyDescent="0.3">
      <c r="A149" s="5" t="s">
        <v>48</v>
      </c>
      <c r="B149" s="5" t="s">
        <v>44</v>
      </c>
      <c r="C149" s="5" t="s">
        <v>41</v>
      </c>
      <c r="D149" s="5" t="s">
        <v>36</v>
      </c>
      <c r="E149" s="6">
        <v>0.19</v>
      </c>
      <c r="F149" s="6">
        <v>0.1</v>
      </c>
    </row>
    <row r="150" spans="1:6" x14ac:dyDescent="0.3">
      <c r="A150" s="5" t="s">
        <v>48</v>
      </c>
      <c r="B150" s="5" t="s">
        <v>44</v>
      </c>
      <c r="C150" s="5" t="s">
        <v>41</v>
      </c>
      <c r="D150" s="5" t="s">
        <v>37</v>
      </c>
      <c r="E150" s="6">
        <v>0.19</v>
      </c>
      <c r="F150" s="6">
        <v>0.1</v>
      </c>
    </row>
    <row r="151" spans="1:6" x14ac:dyDescent="0.3">
      <c r="A151" s="5" t="s">
        <v>48</v>
      </c>
      <c r="B151" s="5" t="s">
        <v>44</v>
      </c>
      <c r="C151" s="5" t="s">
        <v>41</v>
      </c>
      <c r="D151" s="5" t="s">
        <v>38</v>
      </c>
      <c r="E151" s="6">
        <v>0.18</v>
      </c>
      <c r="F151" s="6">
        <v>0.1</v>
      </c>
    </row>
    <row r="152" spans="1:6" x14ac:dyDescent="0.3">
      <c r="A152" s="5" t="s">
        <v>48</v>
      </c>
      <c r="B152" s="5" t="s">
        <v>45</v>
      </c>
      <c r="C152" s="5" t="s">
        <v>41</v>
      </c>
      <c r="D152" s="5" t="s">
        <v>29</v>
      </c>
      <c r="E152" s="6">
        <v>4.78</v>
      </c>
      <c r="F152" s="6">
        <v>9.64</v>
      </c>
    </row>
    <row r="153" spans="1:6" x14ac:dyDescent="0.3">
      <c r="A153" s="5" t="s">
        <v>48</v>
      </c>
      <c r="B153" s="5" t="s">
        <v>45</v>
      </c>
      <c r="C153" s="5" t="s">
        <v>41</v>
      </c>
      <c r="D153" s="5" t="s">
        <v>30</v>
      </c>
      <c r="E153" s="6">
        <v>4.5</v>
      </c>
      <c r="F153" s="6">
        <v>7.21</v>
      </c>
    </row>
    <row r="154" spans="1:6" x14ac:dyDescent="0.3">
      <c r="A154" s="5" t="s">
        <v>48</v>
      </c>
      <c r="B154" s="5" t="s">
        <v>45</v>
      </c>
      <c r="C154" s="5" t="s">
        <v>41</v>
      </c>
      <c r="D154" s="5" t="s">
        <v>31</v>
      </c>
      <c r="E154" s="6">
        <v>4.25</v>
      </c>
      <c r="F154" s="6">
        <v>8.7799999999999994</v>
      </c>
    </row>
    <row r="155" spans="1:6" x14ac:dyDescent="0.3">
      <c r="A155" s="5" t="s">
        <v>48</v>
      </c>
      <c r="B155" s="5" t="s">
        <v>45</v>
      </c>
      <c r="C155" s="5" t="s">
        <v>41</v>
      </c>
      <c r="D155" s="5" t="s">
        <v>32</v>
      </c>
      <c r="E155" s="6">
        <v>4.93</v>
      </c>
      <c r="F155" s="6">
        <v>10.19</v>
      </c>
    </row>
    <row r="156" spans="1:6" x14ac:dyDescent="0.3">
      <c r="A156" s="5" t="s">
        <v>48</v>
      </c>
      <c r="B156" s="5" t="s">
        <v>45</v>
      </c>
      <c r="C156" s="5" t="s">
        <v>41</v>
      </c>
      <c r="D156" s="5" t="s">
        <v>33</v>
      </c>
      <c r="E156" s="6">
        <v>5.69</v>
      </c>
      <c r="F156" s="6">
        <v>13.5</v>
      </c>
    </row>
    <row r="157" spans="1:6" x14ac:dyDescent="0.3">
      <c r="A157" s="5" t="s">
        <v>48</v>
      </c>
      <c r="B157" s="5" t="s">
        <v>45</v>
      </c>
      <c r="C157" s="5" t="s">
        <v>41</v>
      </c>
      <c r="D157" s="5" t="s">
        <v>34</v>
      </c>
      <c r="E157" s="6">
        <v>4.83</v>
      </c>
      <c r="F157" s="6">
        <v>11.2</v>
      </c>
    </row>
    <row r="158" spans="1:6" x14ac:dyDescent="0.3">
      <c r="A158" s="5" t="s">
        <v>48</v>
      </c>
      <c r="B158" s="5" t="s">
        <v>45</v>
      </c>
      <c r="C158" s="5" t="s">
        <v>41</v>
      </c>
      <c r="D158" s="5" t="s">
        <v>35</v>
      </c>
      <c r="E158" s="6">
        <v>5.26</v>
      </c>
      <c r="F158" s="6">
        <v>12</v>
      </c>
    </row>
    <row r="159" spans="1:6" x14ac:dyDescent="0.3">
      <c r="A159" s="5" t="s">
        <v>48</v>
      </c>
      <c r="B159" s="5" t="s">
        <v>45</v>
      </c>
      <c r="C159" s="5" t="s">
        <v>41</v>
      </c>
      <c r="D159" s="5" t="s">
        <v>36</v>
      </c>
      <c r="E159" s="6">
        <v>5.28</v>
      </c>
      <c r="F159" s="6">
        <v>11.61</v>
      </c>
    </row>
    <row r="160" spans="1:6" x14ac:dyDescent="0.3">
      <c r="A160" s="5" t="s">
        <v>48</v>
      </c>
      <c r="B160" s="5" t="s">
        <v>45</v>
      </c>
      <c r="C160" s="5" t="s">
        <v>41</v>
      </c>
      <c r="D160" s="5" t="s">
        <v>37</v>
      </c>
      <c r="E160" s="6">
        <v>5.74</v>
      </c>
      <c r="F160" s="6">
        <v>12.76</v>
      </c>
    </row>
    <row r="161" spans="1:6" x14ac:dyDescent="0.3">
      <c r="A161" s="5" t="s">
        <v>48</v>
      </c>
      <c r="B161" s="5" t="s">
        <v>45</v>
      </c>
      <c r="C161" s="5" t="s">
        <v>41</v>
      </c>
      <c r="D161" s="5" t="s">
        <v>38</v>
      </c>
      <c r="E161" s="6">
        <v>5.88</v>
      </c>
      <c r="F161" s="6">
        <v>14.06</v>
      </c>
    </row>
    <row r="162" spans="1:6" x14ac:dyDescent="0.3">
      <c r="A162" s="5" t="s">
        <v>48</v>
      </c>
      <c r="B162" s="5" t="s">
        <v>47</v>
      </c>
      <c r="C162" s="5" t="s">
        <v>41</v>
      </c>
      <c r="D162" s="5" t="s">
        <v>29</v>
      </c>
      <c r="E162" s="6">
        <v>1.02</v>
      </c>
      <c r="F162" s="6">
        <v>82.23</v>
      </c>
    </row>
    <row r="163" spans="1:6" x14ac:dyDescent="0.3">
      <c r="A163" s="5" t="s">
        <v>48</v>
      </c>
      <c r="B163" s="5" t="s">
        <v>47</v>
      </c>
      <c r="C163" s="5" t="s">
        <v>41</v>
      </c>
      <c r="D163" s="5" t="s">
        <v>30</v>
      </c>
      <c r="E163" s="6">
        <v>1.1399999999999999</v>
      </c>
      <c r="F163" s="6">
        <v>96.33</v>
      </c>
    </row>
    <row r="164" spans="1:6" x14ac:dyDescent="0.3">
      <c r="A164" s="5" t="s">
        <v>48</v>
      </c>
      <c r="B164" s="5" t="s">
        <v>47</v>
      </c>
      <c r="C164" s="5" t="s">
        <v>41</v>
      </c>
      <c r="D164" s="5" t="s">
        <v>31</v>
      </c>
      <c r="E164" s="6">
        <v>1.0900000000000001</v>
      </c>
      <c r="F164" s="6">
        <v>85.05</v>
      </c>
    </row>
    <row r="165" spans="1:6" x14ac:dyDescent="0.3">
      <c r="A165" s="5" t="s">
        <v>48</v>
      </c>
      <c r="B165" s="5" t="s">
        <v>47</v>
      </c>
      <c r="C165" s="5" t="s">
        <v>41</v>
      </c>
      <c r="D165" s="5" t="s">
        <v>32</v>
      </c>
      <c r="E165" s="6">
        <v>0.96</v>
      </c>
      <c r="F165" s="6">
        <v>77.3</v>
      </c>
    </row>
    <row r="166" spans="1:6" x14ac:dyDescent="0.3">
      <c r="A166" s="5" t="s">
        <v>48</v>
      </c>
      <c r="B166" s="5" t="s">
        <v>47</v>
      </c>
      <c r="C166" s="5" t="s">
        <v>41</v>
      </c>
      <c r="D166" s="5" t="s">
        <v>33</v>
      </c>
      <c r="E166" s="6">
        <v>0.99</v>
      </c>
      <c r="F166" s="6">
        <v>85.32</v>
      </c>
    </row>
    <row r="167" spans="1:6" x14ac:dyDescent="0.3">
      <c r="A167" s="5" t="s">
        <v>48</v>
      </c>
      <c r="B167" s="5" t="s">
        <v>47</v>
      </c>
      <c r="C167" s="5" t="s">
        <v>41</v>
      </c>
      <c r="D167" s="5" t="s">
        <v>34</v>
      </c>
      <c r="E167" s="6">
        <v>1.08</v>
      </c>
      <c r="F167" s="6">
        <v>88.23</v>
      </c>
    </row>
    <row r="168" spans="1:6" x14ac:dyDescent="0.3">
      <c r="A168" s="5" t="s">
        <v>48</v>
      </c>
      <c r="B168" s="5" t="s">
        <v>47</v>
      </c>
      <c r="C168" s="5" t="s">
        <v>41</v>
      </c>
      <c r="D168" s="5" t="s">
        <v>35</v>
      </c>
      <c r="E168" s="6">
        <v>1.08</v>
      </c>
      <c r="F168" s="6">
        <v>88.6</v>
      </c>
    </row>
    <row r="169" spans="1:6" x14ac:dyDescent="0.3">
      <c r="A169" s="5" t="s">
        <v>48</v>
      </c>
      <c r="B169" s="5" t="s">
        <v>47</v>
      </c>
      <c r="C169" s="5" t="s">
        <v>41</v>
      </c>
      <c r="D169" s="5" t="s">
        <v>36</v>
      </c>
      <c r="E169" s="6">
        <v>0.88</v>
      </c>
      <c r="F169" s="6">
        <v>73.739999999999995</v>
      </c>
    </row>
    <row r="170" spans="1:6" x14ac:dyDescent="0.3">
      <c r="A170" s="5" t="s">
        <v>48</v>
      </c>
      <c r="B170" s="5" t="s">
        <v>47</v>
      </c>
      <c r="C170" s="5" t="s">
        <v>41</v>
      </c>
      <c r="D170" s="5" t="s">
        <v>37</v>
      </c>
      <c r="E170" s="6">
        <v>0.72</v>
      </c>
      <c r="F170" s="6">
        <v>58.3</v>
      </c>
    </row>
    <row r="171" spans="1:6" x14ac:dyDescent="0.3">
      <c r="A171" s="5" t="s">
        <v>48</v>
      </c>
      <c r="B171" s="5" t="s">
        <v>47</v>
      </c>
      <c r="C171" s="5" t="s">
        <v>41</v>
      </c>
      <c r="D171" s="5" t="s">
        <v>38</v>
      </c>
      <c r="E171" s="6">
        <v>0.88</v>
      </c>
      <c r="F171" s="6">
        <v>73.739999999999995</v>
      </c>
    </row>
    <row r="172" spans="1:6" x14ac:dyDescent="0.3">
      <c r="A172" s="5" t="s">
        <v>49</v>
      </c>
      <c r="B172" s="5" t="s">
        <v>27</v>
      </c>
      <c r="C172" s="5" t="s">
        <v>28</v>
      </c>
      <c r="D172" s="5" t="s">
        <v>29</v>
      </c>
      <c r="E172" s="6">
        <v>12.63</v>
      </c>
      <c r="F172" s="6">
        <v>29.89</v>
      </c>
    </row>
    <row r="173" spans="1:6" x14ac:dyDescent="0.3">
      <c r="A173" s="5" t="s">
        <v>49</v>
      </c>
      <c r="B173" s="5" t="s">
        <v>27</v>
      </c>
      <c r="C173" s="5" t="s">
        <v>28</v>
      </c>
      <c r="D173" s="5" t="s">
        <v>30</v>
      </c>
      <c r="E173" s="6">
        <v>11.83</v>
      </c>
      <c r="F173" s="6">
        <v>33.94</v>
      </c>
    </row>
    <row r="174" spans="1:6" x14ac:dyDescent="0.3">
      <c r="A174" s="5" t="s">
        <v>49</v>
      </c>
      <c r="B174" s="5" t="s">
        <v>27</v>
      </c>
      <c r="C174" s="5" t="s">
        <v>28</v>
      </c>
      <c r="D174" s="5" t="s">
        <v>31</v>
      </c>
      <c r="E174" s="6">
        <v>12.31</v>
      </c>
      <c r="F174" s="6">
        <v>33.92</v>
      </c>
    </row>
    <row r="175" spans="1:6" x14ac:dyDescent="0.3">
      <c r="A175" s="5" t="s">
        <v>49</v>
      </c>
      <c r="B175" s="5" t="s">
        <v>27</v>
      </c>
      <c r="C175" s="5" t="s">
        <v>28</v>
      </c>
      <c r="D175" s="5" t="s">
        <v>32</v>
      </c>
      <c r="E175" s="6">
        <v>12.87</v>
      </c>
      <c r="F175" s="6">
        <v>37.4</v>
      </c>
    </row>
    <row r="176" spans="1:6" x14ac:dyDescent="0.3">
      <c r="A176" s="5" t="s">
        <v>49</v>
      </c>
      <c r="B176" s="5" t="s">
        <v>27</v>
      </c>
      <c r="C176" s="5" t="s">
        <v>28</v>
      </c>
      <c r="D176" s="5" t="s">
        <v>33</v>
      </c>
      <c r="E176" s="6">
        <v>15.32</v>
      </c>
      <c r="F176" s="6">
        <v>46.74</v>
      </c>
    </row>
    <row r="177" spans="1:6" x14ac:dyDescent="0.3">
      <c r="A177" s="5" t="s">
        <v>49</v>
      </c>
      <c r="B177" s="5" t="s">
        <v>27</v>
      </c>
      <c r="C177" s="5" t="s">
        <v>28</v>
      </c>
      <c r="D177" s="5" t="s">
        <v>34</v>
      </c>
      <c r="E177" s="6">
        <v>13.98</v>
      </c>
      <c r="F177" s="6">
        <v>45.18</v>
      </c>
    </row>
    <row r="178" spans="1:6" x14ac:dyDescent="0.3">
      <c r="A178" s="5" t="s">
        <v>49</v>
      </c>
      <c r="B178" s="5" t="s">
        <v>27</v>
      </c>
      <c r="C178" s="5" t="s">
        <v>28</v>
      </c>
      <c r="D178" s="5" t="s">
        <v>35</v>
      </c>
      <c r="E178" s="6">
        <v>15.46</v>
      </c>
      <c r="F178" s="6">
        <v>46.15</v>
      </c>
    </row>
    <row r="179" spans="1:6" x14ac:dyDescent="0.3">
      <c r="A179" s="5" t="s">
        <v>49</v>
      </c>
      <c r="B179" s="5" t="s">
        <v>27</v>
      </c>
      <c r="C179" s="5" t="s">
        <v>28</v>
      </c>
      <c r="D179" s="5" t="s">
        <v>36</v>
      </c>
      <c r="E179" s="6">
        <v>17.45</v>
      </c>
      <c r="F179" s="6">
        <v>47.53</v>
      </c>
    </row>
    <row r="180" spans="1:6" x14ac:dyDescent="0.3">
      <c r="A180" s="5" t="s">
        <v>49</v>
      </c>
      <c r="B180" s="5" t="s">
        <v>27</v>
      </c>
      <c r="C180" s="5" t="s">
        <v>28</v>
      </c>
      <c r="D180" s="5" t="s">
        <v>37</v>
      </c>
      <c r="E180" s="6">
        <v>15.85</v>
      </c>
      <c r="F180" s="6">
        <v>49.65</v>
      </c>
    </row>
    <row r="181" spans="1:6" x14ac:dyDescent="0.3">
      <c r="A181" s="5" t="s">
        <v>49</v>
      </c>
      <c r="B181" s="5" t="s">
        <v>27</v>
      </c>
      <c r="C181" s="5" t="s">
        <v>28</v>
      </c>
      <c r="D181" s="5" t="s">
        <v>38</v>
      </c>
      <c r="E181" s="6">
        <v>17.3</v>
      </c>
      <c r="F181" s="6">
        <v>57.23</v>
      </c>
    </row>
    <row r="182" spans="1:6" x14ac:dyDescent="0.3">
      <c r="A182" s="5" t="s">
        <v>49</v>
      </c>
      <c r="B182" s="5" t="s">
        <v>27</v>
      </c>
      <c r="C182" s="5" t="s">
        <v>39</v>
      </c>
      <c r="D182" s="5" t="s">
        <v>29</v>
      </c>
      <c r="E182" s="6">
        <v>1.07</v>
      </c>
      <c r="F182" s="6">
        <v>3.25</v>
      </c>
    </row>
    <row r="183" spans="1:6" x14ac:dyDescent="0.3">
      <c r="A183" s="5" t="s">
        <v>49</v>
      </c>
      <c r="B183" s="5" t="s">
        <v>27</v>
      </c>
      <c r="C183" s="5" t="s">
        <v>39</v>
      </c>
      <c r="D183" s="5" t="s">
        <v>30</v>
      </c>
      <c r="E183" s="6">
        <v>1.24</v>
      </c>
      <c r="F183" s="6">
        <v>4.5999999999999996</v>
      </c>
    </row>
    <row r="184" spans="1:6" x14ac:dyDescent="0.3">
      <c r="A184" s="5" t="s">
        <v>49</v>
      </c>
      <c r="B184" s="5" t="s">
        <v>27</v>
      </c>
      <c r="C184" s="5" t="s">
        <v>39</v>
      </c>
      <c r="D184" s="5" t="s">
        <v>31</v>
      </c>
      <c r="E184" s="6">
        <v>1.08</v>
      </c>
      <c r="F184" s="6">
        <v>3.66</v>
      </c>
    </row>
    <row r="185" spans="1:6" x14ac:dyDescent="0.3">
      <c r="A185" s="5" t="s">
        <v>49</v>
      </c>
      <c r="B185" s="5" t="s">
        <v>27</v>
      </c>
      <c r="C185" s="5" t="s">
        <v>39</v>
      </c>
      <c r="D185" s="5" t="s">
        <v>32</v>
      </c>
      <c r="E185" s="6">
        <v>1.37</v>
      </c>
      <c r="F185" s="6">
        <v>5.18</v>
      </c>
    </row>
    <row r="186" spans="1:6" x14ac:dyDescent="0.3">
      <c r="A186" s="5" t="s">
        <v>49</v>
      </c>
      <c r="B186" s="5" t="s">
        <v>27</v>
      </c>
      <c r="C186" s="5" t="s">
        <v>39</v>
      </c>
      <c r="D186" s="5" t="s">
        <v>33</v>
      </c>
      <c r="E186" s="6">
        <v>1.94</v>
      </c>
      <c r="F186" s="6">
        <v>6.88</v>
      </c>
    </row>
    <row r="187" spans="1:6" x14ac:dyDescent="0.3">
      <c r="A187" s="5" t="s">
        <v>49</v>
      </c>
      <c r="B187" s="5" t="s">
        <v>27</v>
      </c>
      <c r="C187" s="5" t="s">
        <v>39</v>
      </c>
      <c r="D187" s="5" t="s">
        <v>34</v>
      </c>
      <c r="E187" s="6">
        <v>1.94</v>
      </c>
      <c r="F187" s="6">
        <v>7.02</v>
      </c>
    </row>
    <row r="188" spans="1:6" x14ac:dyDescent="0.3">
      <c r="A188" s="5" t="s">
        <v>49</v>
      </c>
      <c r="B188" s="5" t="s">
        <v>27</v>
      </c>
      <c r="C188" s="5" t="s">
        <v>39</v>
      </c>
      <c r="D188" s="5" t="s">
        <v>35</v>
      </c>
      <c r="E188" s="6">
        <v>2.95</v>
      </c>
      <c r="F188" s="6">
        <v>10.3</v>
      </c>
    </row>
    <row r="189" spans="1:6" x14ac:dyDescent="0.3">
      <c r="A189" s="5" t="s">
        <v>49</v>
      </c>
      <c r="B189" s="5" t="s">
        <v>27</v>
      </c>
      <c r="C189" s="5" t="s">
        <v>39</v>
      </c>
      <c r="D189" s="5" t="s">
        <v>36</v>
      </c>
      <c r="E189" s="6">
        <v>1.92</v>
      </c>
      <c r="F189" s="6">
        <v>7.46</v>
      </c>
    </row>
    <row r="190" spans="1:6" x14ac:dyDescent="0.3">
      <c r="A190" s="5" t="s">
        <v>49</v>
      </c>
      <c r="B190" s="5" t="s">
        <v>27</v>
      </c>
      <c r="C190" s="5" t="s">
        <v>39</v>
      </c>
      <c r="D190" s="5" t="s">
        <v>37</v>
      </c>
      <c r="E190" s="6">
        <v>2.68</v>
      </c>
      <c r="F190" s="6">
        <v>9.61</v>
      </c>
    </row>
    <row r="191" spans="1:6" x14ac:dyDescent="0.3">
      <c r="A191" s="5" t="s">
        <v>49</v>
      </c>
      <c r="B191" s="5" t="s">
        <v>27</v>
      </c>
      <c r="C191" s="5" t="s">
        <v>39</v>
      </c>
      <c r="D191" s="5" t="s">
        <v>38</v>
      </c>
      <c r="E191" s="6">
        <v>1.59</v>
      </c>
      <c r="F191" s="6">
        <v>5.81</v>
      </c>
    </row>
    <row r="192" spans="1:6" x14ac:dyDescent="0.3">
      <c r="A192" s="5" t="s">
        <v>49</v>
      </c>
      <c r="B192" s="5" t="s">
        <v>27</v>
      </c>
      <c r="C192" s="5" t="s">
        <v>40</v>
      </c>
      <c r="D192" s="5" t="s">
        <v>29</v>
      </c>
      <c r="E192" s="6"/>
      <c r="F192" s="6"/>
    </row>
    <row r="193" spans="1:6" x14ac:dyDescent="0.3">
      <c r="A193" s="5" t="s">
        <v>49</v>
      </c>
      <c r="B193" s="5" t="s">
        <v>27</v>
      </c>
      <c r="C193" s="5" t="s">
        <v>40</v>
      </c>
      <c r="D193" s="5" t="s">
        <v>30</v>
      </c>
      <c r="E193" s="6"/>
      <c r="F193" s="6"/>
    </row>
    <row r="194" spans="1:6" x14ac:dyDescent="0.3">
      <c r="A194" s="5" t="s">
        <v>49</v>
      </c>
      <c r="B194" s="5" t="s">
        <v>27</v>
      </c>
      <c r="C194" s="5" t="s">
        <v>40</v>
      </c>
      <c r="D194" s="5" t="s">
        <v>31</v>
      </c>
      <c r="E194" s="6"/>
      <c r="F194" s="6"/>
    </row>
    <row r="195" spans="1:6" x14ac:dyDescent="0.3">
      <c r="A195" s="5" t="s">
        <v>49</v>
      </c>
      <c r="B195" s="5" t="s">
        <v>27</v>
      </c>
      <c r="C195" s="5" t="s">
        <v>40</v>
      </c>
      <c r="D195" s="5" t="s">
        <v>32</v>
      </c>
      <c r="E195" s="6"/>
      <c r="F195" s="6"/>
    </row>
    <row r="196" spans="1:6" x14ac:dyDescent="0.3">
      <c r="A196" s="5" t="s">
        <v>49</v>
      </c>
      <c r="B196" s="5" t="s">
        <v>27</v>
      </c>
      <c r="C196" s="5" t="s">
        <v>40</v>
      </c>
      <c r="D196" s="5" t="s">
        <v>33</v>
      </c>
      <c r="E196" s="6"/>
      <c r="F196" s="6"/>
    </row>
    <row r="197" spans="1:6" x14ac:dyDescent="0.3">
      <c r="A197" s="5" t="s">
        <v>49</v>
      </c>
      <c r="B197" s="5" t="s">
        <v>27</v>
      </c>
      <c r="C197" s="5" t="s">
        <v>40</v>
      </c>
      <c r="D197" s="5" t="s">
        <v>34</v>
      </c>
      <c r="E197" s="6"/>
      <c r="F197" s="6"/>
    </row>
    <row r="198" spans="1:6" x14ac:dyDescent="0.3">
      <c r="A198" s="5" t="s">
        <v>49</v>
      </c>
      <c r="B198" s="5" t="s">
        <v>27</v>
      </c>
      <c r="C198" s="5" t="s">
        <v>40</v>
      </c>
      <c r="D198" s="5" t="s">
        <v>35</v>
      </c>
      <c r="E198" s="6">
        <v>0.71</v>
      </c>
      <c r="F198" s="6">
        <v>2.67</v>
      </c>
    </row>
    <row r="199" spans="1:6" x14ac:dyDescent="0.3">
      <c r="A199" s="5" t="s">
        <v>49</v>
      </c>
      <c r="B199" s="5" t="s">
        <v>27</v>
      </c>
      <c r="C199" s="5" t="s">
        <v>40</v>
      </c>
      <c r="D199" s="5" t="s">
        <v>36</v>
      </c>
      <c r="E199" s="6">
        <v>0.35</v>
      </c>
      <c r="F199" s="6">
        <v>1.3</v>
      </c>
    </row>
    <row r="200" spans="1:6" x14ac:dyDescent="0.3">
      <c r="A200" s="5" t="s">
        <v>49</v>
      </c>
      <c r="B200" s="5" t="s">
        <v>27</v>
      </c>
      <c r="C200" s="5" t="s">
        <v>40</v>
      </c>
      <c r="D200" s="5" t="s">
        <v>37</v>
      </c>
      <c r="E200" s="6">
        <v>0.61</v>
      </c>
      <c r="F200" s="6">
        <v>2.64</v>
      </c>
    </row>
    <row r="201" spans="1:6" x14ac:dyDescent="0.3">
      <c r="A201" s="5" t="s">
        <v>49</v>
      </c>
      <c r="B201" s="5" t="s">
        <v>27</v>
      </c>
      <c r="C201" s="5" t="s">
        <v>40</v>
      </c>
      <c r="D201" s="5" t="s">
        <v>38</v>
      </c>
      <c r="E201" s="6">
        <v>0.63</v>
      </c>
      <c r="F201" s="6">
        <v>2.48</v>
      </c>
    </row>
    <row r="202" spans="1:6" x14ac:dyDescent="0.3">
      <c r="A202" s="5" t="s">
        <v>49</v>
      </c>
      <c r="B202" s="5" t="s">
        <v>27</v>
      </c>
      <c r="C202" s="5" t="s">
        <v>41</v>
      </c>
      <c r="D202" s="5" t="s">
        <v>29</v>
      </c>
      <c r="E202" s="6">
        <v>13.7</v>
      </c>
      <c r="F202" s="6">
        <v>33.14</v>
      </c>
    </row>
    <row r="203" spans="1:6" x14ac:dyDescent="0.3">
      <c r="A203" s="5" t="s">
        <v>49</v>
      </c>
      <c r="B203" s="5" t="s">
        <v>27</v>
      </c>
      <c r="C203" s="5" t="s">
        <v>41</v>
      </c>
      <c r="D203" s="5" t="s">
        <v>30</v>
      </c>
      <c r="E203" s="6">
        <v>13.07</v>
      </c>
      <c r="F203" s="6">
        <v>38.54</v>
      </c>
    </row>
    <row r="204" spans="1:6" x14ac:dyDescent="0.3">
      <c r="A204" s="5" t="s">
        <v>49</v>
      </c>
      <c r="B204" s="5" t="s">
        <v>27</v>
      </c>
      <c r="C204" s="5" t="s">
        <v>41</v>
      </c>
      <c r="D204" s="5" t="s">
        <v>31</v>
      </c>
      <c r="E204" s="6">
        <v>13.4</v>
      </c>
      <c r="F204" s="6">
        <v>37.58</v>
      </c>
    </row>
    <row r="205" spans="1:6" x14ac:dyDescent="0.3">
      <c r="A205" s="5" t="s">
        <v>49</v>
      </c>
      <c r="B205" s="5" t="s">
        <v>27</v>
      </c>
      <c r="C205" s="5" t="s">
        <v>41</v>
      </c>
      <c r="D205" s="5" t="s">
        <v>32</v>
      </c>
      <c r="E205" s="6">
        <v>14.24</v>
      </c>
      <c r="F205" s="6">
        <v>42.58</v>
      </c>
    </row>
    <row r="206" spans="1:6" x14ac:dyDescent="0.3">
      <c r="A206" s="5" t="s">
        <v>49</v>
      </c>
      <c r="B206" s="5" t="s">
        <v>27</v>
      </c>
      <c r="C206" s="5" t="s">
        <v>41</v>
      </c>
      <c r="D206" s="5" t="s">
        <v>33</v>
      </c>
      <c r="E206" s="6">
        <v>17.260000000000002</v>
      </c>
      <c r="F206" s="6">
        <v>53.62</v>
      </c>
    </row>
    <row r="207" spans="1:6" x14ac:dyDescent="0.3">
      <c r="A207" s="5" t="s">
        <v>49</v>
      </c>
      <c r="B207" s="5" t="s">
        <v>27</v>
      </c>
      <c r="C207" s="5" t="s">
        <v>41</v>
      </c>
      <c r="D207" s="5" t="s">
        <v>34</v>
      </c>
      <c r="E207" s="6">
        <v>15.92</v>
      </c>
      <c r="F207" s="6">
        <v>52.21</v>
      </c>
    </row>
    <row r="208" spans="1:6" x14ac:dyDescent="0.3">
      <c r="A208" s="5" t="s">
        <v>49</v>
      </c>
      <c r="B208" s="5" t="s">
        <v>27</v>
      </c>
      <c r="C208" s="5" t="s">
        <v>41</v>
      </c>
      <c r="D208" s="5" t="s">
        <v>35</v>
      </c>
      <c r="E208" s="6">
        <v>19.12</v>
      </c>
      <c r="F208" s="6">
        <v>59.11</v>
      </c>
    </row>
    <row r="209" spans="1:6" x14ac:dyDescent="0.3">
      <c r="A209" s="5" t="s">
        <v>49</v>
      </c>
      <c r="B209" s="5" t="s">
        <v>27</v>
      </c>
      <c r="C209" s="5" t="s">
        <v>41</v>
      </c>
      <c r="D209" s="5" t="s">
        <v>36</v>
      </c>
      <c r="E209" s="6">
        <v>19.72</v>
      </c>
      <c r="F209" s="6">
        <v>56.29</v>
      </c>
    </row>
    <row r="210" spans="1:6" x14ac:dyDescent="0.3">
      <c r="A210" s="5" t="s">
        <v>49</v>
      </c>
      <c r="B210" s="5" t="s">
        <v>27</v>
      </c>
      <c r="C210" s="5" t="s">
        <v>41</v>
      </c>
      <c r="D210" s="5" t="s">
        <v>37</v>
      </c>
      <c r="E210" s="6">
        <v>19.14</v>
      </c>
      <c r="F210" s="6">
        <v>61.9</v>
      </c>
    </row>
    <row r="211" spans="1:6" x14ac:dyDescent="0.3">
      <c r="A211" s="5" t="s">
        <v>49</v>
      </c>
      <c r="B211" s="5" t="s">
        <v>27</v>
      </c>
      <c r="C211" s="5" t="s">
        <v>41</v>
      </c>
      <c r="D211" s="5" t="s">
        <v>38</v>
      </c>
      <c r="E211" s="6">
        <v>19.52</v>
      </c>
      <c r="F211" s="6">
        <v>65.510000000000005</v>
      </c>
    </row>
    <row r="212" spans="1:6" x14ac:dyDescent="0.3">
      <c r="A212" s="5" t="s">
        <v>49</v>
      </c>
      <c r="B212" s="5" t="s">
        <v>42</v>
      </c>
      <c r="C212" s="5" t="s">
        <v>41</v>
      </c>
      <c r="D212" s="5" t="s">
        <v>29</v>
      </c>
      <c r="E212" s="6">
        <v>10.34</v>
      </c>
      <c r="F212" s="6">
        <v>26.05</v>
      </c>
    </row>
    <row r="213" spans="1:6" x14ac:dyDescent="0.3">
      <c r="A213" s="5" t="s">
        <v>49</v>
      </c>
      <c r="B213" s="5" t="s">
        <v>42</v>
      </c>
      <c r="C213" s="5" t="s">
        <v>41</v>
      </c>
      <c r="D213" s="5" t="s">
        <v>30</v>
      </c>
      <c r="E213" s="6">
        <v>9.93</v>
      </c>
      <c r="F213" s="6">
        <v>30.17</v>
      </c>
    </row>
    <row r="214" spans="1:6" x14ac:dyDescent="0.3">
      <c r="A214" s="5" t="s">
        <v>49</v>
      </c>
      <c r="B214" s="5" t="s">
        <v>42</v>
      </c>
      <c r="C214" s="5" t="s">
        <v>41</v>
      </c>
      <c r="D214" s="5" t="s">
        <v>31</v>
      </c>
      <c r="E214" s="6">
        <v>11.39</v>
      </c>
      <c r="F214" s="6">
        <v>34.31</v>
      </c>
    </row>
    <row r="215" spans="1:6" x14ac:dyDescent="0.3">
      <c r="A215" s="5" t="s">
        <v>49</v>
      </c>
      <c r="B215" s="5" t="s">
        <v>42</v>
      </c>
      <c r="C215" s="5" t="s">
        <v>41</v>
      </c>
      <c r="D215" s="5" t="s">
        <v>32</v>
      </c>
      <c r="E215" s="6">
        <v>11.85</v>
      </c>
      <c r="F215" s="6">
        <v>36.340000000000003</v>
      </c>
    </row>
    <row r="216" spans="1:6" x14ac:dyDescent="0.3">
      <c r="A216" s="5" t="s">
        <v>49</v>
      </c>
      <c r="B216" s="5" t="s">
        <v>42</v>
      </c>
      <c r="C216" s="5" t="s">
        <v>41</v>
      </c>
      <c r="D216" s="5" t="s">
        <v>33</v>
      </c>
      <c r="E216" s="6">
        <v>13.97</v>
      </c>
      <c r="F216" s="6">
        <v>42.92</v>
      </c>
    </row>
    <row r="217" spans="1:6" x14ac:dyDescent="0.3">
      <c r="A217" s="5" t="s">
        <v>49</v>
      </c>
      <c r="B217" s="5" t="s">
        <v>42</v>
      </c>
      <c r="C217" s="5" t="s">
        <v>41</v>
      </c>
      <c r="D217" s="5" t="s">
        <v>34</v>
      </c>
      <c r="E217" s="6">
        <v>13.98</v>
      </c>
      <c r="F217" s="6">
        <v>43.18</v>
      </c>
    </row>
    <row r="218" spans="1:6" x14ac:dyDescent="0.3">
      <c r="A218" s="5" t="s">
        <v>49</v>
      </c>
      <c r="B218" s="5" t="s">
        <v>42</v>
      </c>
      <c r="C218" s="5" t="s">
        <v>41</v>
      </c>
      <c r="D218" s="5" t="s">
        <v>35</v>
      </c>
      <c r="E218" s="6">
        <v>13.28</v>
      </c>
      <c r="F218" s="6">
        <v>42.8</v>
      </c>
    </row>
    <row r="219" spans="1:6" x14ac:dyDescent="0.3">
      <c r="A219" s="5" t="s">
        <v>49</v>
      </c>
      <c r="B219" s="5" t="s">
        <v>42</v>
      </c>
      <c r="C219" s="5" t="s">
        <v>41</v>
      </c>
      <c r="D219" s="5" t="s">
        <v>36</v>
      </c>
      <c r="E219" s="6">
        <v>9.5299999999999994</v>
      </c>
      <c r="F219" s="6">
        <v>31.27</v>
      </c>
    </row>
    <row r="220" spans="1:6" x14ac:dyDescent="0.3">
      <c r="A220" s="5" t="s">
        <v>49</v>
      </c>
      <c r="B220" s="5" t="s">
        <v>42</v>
      </c>
      <c r="C220" s="5" t="s">
        <v>41</v>
      </c>
      <c r="D220" s="5" t="s">
        <v>37</v>
      </c>
      <c r="E220" s="6">
        <v>11.81</v>
      </c>
      <c r="F220" s="6">
        <v>39.49</v>
      </c>
    </row>
    <row r="221" spans="1:6" x14ac:dyDescent="0.3">
      <c r="A221" s="5" t="s">
        <v>49</v>
      </c>
      <c r="B221" s="5" t="s">
        <v>42</v>
      </c>
      <c r="C221" s="5" t="s">
        <v>41</v>
      </c>
      <c r="D221" s="5" t="s">
        <v>38</v>
      </c>
      <c r="E221" s="6">
        <v>11.47</v>
      </c>
      <c r="F221" s="6">
        <v>37.5</v>
      </c>
    </row>
    <row r="222" spans="1:6" x14ac:dyDescent="0.3">
      <c r="A222" s="5" t="s">
        <v>49</v>
      </c>
      <c r="B222" s="5" t="s">
        <v>43</v>
      </c>
      <c r="C222" s="5" t="s">
        <v>41</v>
      </c>
      <c r="D222" s="5" t="s">
        <v>29</v>
      </c>
      <c r="E222" s="6">
        <v>1.68</v>
      </c>
      <c r="F222" s="6">
        <v>1.71</v>
      </c>
    </row>
    <row r="223" spans="1:6" x14ac:dyDescent="0.3">
      <c r="A223" s="5" t="s">
        <v>49</v>
      </c>
      <c r="B223" s="5" t="s">
        <v>43</v>
      </c>
      <c r="C223" s="5" t="s">
        <v>41</v>
      </c>
      <c r="D223" s="5" t="s">
        <v>30</v>
      </c>
      <c r="E223" s="6">
        <v>1.93</v>
      </c>
      <c r="F223" s="6">
        <v>2.2999999999999998</v>
      </c>
    </row>
    <row r="224" spans="1:6" x14ac:dyDescent="0.3">
      <c r="A224" s="5" t="s">
        <v>49</v>
      </c>
      <c r="B224" s="5" t="s">
        <v>43</v>
      </c>
      <c r="C224" s="5" t="s">
        <v>41</v>
      </c>
      <c r="D224" s="5" t="s">
        <v>31</v>
      </c>
      <c r="E224" s="6">
        <v>1.5</v>
      </c>
      <c r="F224" s="6">
        <v>1.64</v>
      </c>
    </row>
    <row r="225" spans="1:6" x14ac:dyDescent="0.3">
      <c r="A225" s="5" t="s">
        <v>49</v>
      </c>
      <c r="B225" s="5" t="s">
        <v>43</v>
      </c>
      <c r="C225" s="5" t="s">
        <v>41</v>
      </c>
      <c r="D225" s="5" t="s">
        <v>32</v>
      </c>
      <c r="E225" s="6">
        <v>1.5</v>
      </c>
      <c r="F225" s="6">
        <v>1.8</v>
      </c>
    </row>
    <row r="226" spans="1:6" x14ac:dyDescent="0.3">
      <c r="A226" s="5" t="s">
        <v>49</v>
      </c>
      <c r="B226" s="5" t="s">
        <v>43</v>
      </c>
      <c r="C226" s="5" t="s">
        <v>41</v>
      </c>
      <c r="D226" s="5" t="s">
        <v>33</v>
      </c>
      <c r="E226" s="6">
        <v>2.0299999999999998</v>
      </c>
      <c r="F226" s="6">
        <v>2.62</v>
      </c>
    </row>
    <row r="227" spans="1:6" x14ac:dyDescent="0.3">
      <c r="A227" s="5" t="s">
        <v>49</v>
      </c>
      <c r="B227" s="5" t="s">
        <v>43</v>
      </c>
      <c r="C227" s="5" t="s">
        <v>41</v>
      </c>
      <c r="D227" s="5" t="s">
        <v>34</v>
      </c>
      <c r="E227" s="6">
        <v>1.65</v>
      </c>
      <c r="F227" s="6">
        <v>2.12</v>
      </c>
    </row>
    <row r="228" spans="1:6" x14ac:dyDescent="0.3">
      <c r="A228" s="5" t="s">
        <v>49</v>
      </c>
      <c r="B228" s="5" t="s">
        <v>43</v>
      </c>
      <c r="C228" s="5" t="s">
        <v>41</v>
      </c>
      <c r="D228" s="5" t="s">
        <v>35</v>
      </c>
      <c r="E228" s="6">
        <v>1.46</v>
      </c>
      <c r="F228" s="6">
        <v>2</v>
      </c>
    </row>
    <row r="229" spans="1:6" x14ac:dyDescent="0.3">
      <c r="A229" s="5" t="s">
        <v>49</v>
      </c>
      <c r="B229" s="5" t="s">
        <v>43</v>
      </c>
      <c r="C229" s="5" t="s">
        <v>41</v>
      </c>
      <c r="D229" s="5" t="s">
        <v>36</v>
      </c>
      <c r="E229" s="6">
        <v>1.45</v>
      </c>
      <c r="F229" s="6">
        <v>1.9</v>
      </c>
    </row>
    <row r="230" spans="1:6" x14ac:dyDescent="0.3">
      <c r="A230" s="5" t="s">
        <v>49</v>
      </c>
      <c r="B230" s="5" t="s">
        <v>43</v>
      </c>
      <c r="C230" s="5" t="s">
        <v>41</v>
      </c>
      <c r="D230" s="5" t="s">
        <v>37</v>
      </c>
      <c r="E230" s="6">
        <v>1.63</v>
      </c>
      <c r="F230" s="6">
        <v>2.0499999999999998</v>
      </c>
    </row>
    <row r="231" spans="1:6" x14ac:dyDescent="0.3">
      <c r="A231" s="5" t="s">
        <v>49</v>
      </c>
      <c r="B231" s="5" t="s">
        <v>43</v>
      </c>
      <c r="C231" s="5" t="s">
        <v>41</v>
      </c>
      <c r="D231" s="5" t="s">
        <v>38</v>
      </c>
      <c r="E231" s="6">
        <v>1.72</v>
      </c>
      <c r="F231" s="6">
        <v>2.25</v>
      </c>
    </row>
    <row r="232" spans="1:6" x14ac:dyDescent="0.3">
      <c r="A232" s="5" t="s">
        <v>49</v>
      </c>
      <c r="B232" s="5" t="s">
        <v>44</v>
      </c>
      <c r="C232" s="5" t="s">
        <v>41</v>
      </c>
      <c r="D232" s="5" t="s">
        <v>29</v>
      </c>
      <c r="E232" s="6">
        <v>9.48</v>
      </c>
      <c r="F232" s="6">
        <v>8.4600000000000009</v>
      </c>
    </row>
    <row r="233" spans="1:6" x14ac:dyDescent="0.3">
      <c r="A233" s="5" t="s">
        <v>49</v>
      </c>
      <c r="B233" s="5" t="s">
        <v>44</v>
      </c>
      <c r="C233" s="5" t="s">
        <v>41</v>
      </c>
      <c r="D233" s="5" t="s">
        <v>30</v>
      </c>
      <c r="E233" s="6">
        <v>10.88</v>
      </c>
      <c r="F233" s="6">
        <v>11.4</v>
      </c>
    </row>
    <row r="234" spans="1:6" x14ac:dyDescent="0.3">
      <c r="A234" s="5" t="s">
        <v>49</v>
      </c>
      <c r="B234" s="5" t="s">
        <v>44</v>
      </c>
      <c r="C234" s="5" t="s">
        <v>41</v>
      </c>
      <c r="D234" s="5" t="s">
        <v>31</v>
      </c>
      <c r="E234" s="6">
        <v>9.43</v>
      </c>
      <c r="F234" s="6">
        <v>8.92</v>
      </c>
    </row>
    <row r="235" spans="1:6" x14ac:dyDescent="0.3">
      <c r="A235" s="5" t="s">
        <v>49</v>
      </c>
      <c r="B235" s="5" t="s">
        <v>44</v>
      </c>
      <c r="C235" s="5" t="s">
        <v>41</v>
      </c>
      <c r="D235" s="5" t="s">
        <v>32</v>
      </c>
      <c r="E235" s="6">
        <v>8.27</v>
      </c>
      <c r="F235" s="6">
        <v>9.8699999999999992</v>
      </c>
    </row>
    <row r="236" spans="1:6" x14ac:dyDescent="0.3">
      <c r="A236" s="5" t="s">
        <v>49</v>
      </c>
      <c r="B236" s="5" t="s">
        <v>44</v>
      </c>
      <c r="C236" s="5" t="s">
        <v>41</v>
      </c>
      <c r="D236" s="5" t="s">
        <v>33</v>
      </c>
      <c r="E236" s="6">
        <v>7.5</v>
      </c>
      <c r="F236" s="6">
        <v>9.0399999999999991</v>
      </c>
    </row>
    <row r="237" spans="1:6" x14ac:dyDescent="0.3">
      <c r="A237" s="5" t="s">
        <v>49</v>
      </c>
      <c r="B237" s="5" t="s">
        <v>44</v>
      </c>
      <c r="C237" s="5" t="s">
        <v>41</v>
      </c>
      <c r="D237" s="5" t="s">
        <v>34</v>
      </c>
      <c r="E237" s="6">
        <v>6.15</v>
      </c>
      <c r="F237" s="6">
        <v>7.31</v>
      </c>
    </row>
    <row r="238" spans="1:6" x14ac:dyDescent="0.3">
      <c r="A238" s="5" t="s">
        <v>49</v>
      </c>
      <c r="B238" s="5" t="s">
        <v>44</v>
      </c>
      <c r="C238" s="5" t="s">
        <v>41</v>
      </c>
      <c r="D238" s="5" t="s">
        <v>35</v>
      </c>
      <c r="E238" s="6">
        <v>5.55</v>
      </c>
      <c r="F238" s="6">
        <v>6.82</v>
      </c>
    </row>
    <row r="239" spans="1:6" x14ac:dyDescent="0.3">
      <c r="A239" s="5" t="s">
        <v>49</v>
      </c>
      <c r="B239" s="5" t="s">
        <v>44</v>
      </c>
      <c r="C239" s="5" t="s">
        <v>41</v>
      </c>
      <c r="D239" s="5" t="s">
        <v>36</v>
      </c>
      <c r="E239" s="6">
        <v>8.08</v>
      </c>
      <c r="F239" s="6">
        <v>9.43</v>
      </c>
    </row>
    <row r="240" spans="1:6" x14ac:dyDescent="0.3">
      <c r="A240" s="5" t="s">
        <v>49</v>
      </c>
      <c r="B240" s="5" t="s">
        <v>44</v>
      </c>
      <c r="C240" s="5" t="s">
        <v>41</v>
      </c>
      <c r="D240" s="5" t="s">
        <v>37</v>
      </c>
      <c r="E240" s="6">
        <v>6.48</v>
      </c>
      <c r="F240" s="6">
        <v>8.15</v>
      </c>
    </row>
    <row r="241" spans="1:6" x14ac:dyDescent="0.3">
      <c r="A241" s="5" t="s">
        <v>49</v>
      </c>
      <c r="B241" s="5" t="s">
        <v>44</v>
      </c>
      <c r="C241" s="5" t="s">
        <v>41</v>
      </c>
      <c r="D241" s="5" t="s">
        <v>38</v>
      </c>
      <c r="E241" s="6">
        <v>5.12</v>
      </c>
      <c r="F241" s="6">
        <v>6.64</v>
      </c>
    </row>
    <row r="242" spans="1:6" x14ac:dyDescent="0.3">
      <c r="A242" s="5" t="s">
        <v>49</v>
      </c>
      <c r="B242" s="5" t="s">
        <v>45</v>
      </c>
      <c r="C242" s="5" t="s">
        <v>41</v>
      </c>
      <c r="D242" s="5" t="s">
        <v>29</v>
      </c>
      <c r="E242" s="6">
        <v>2.42</v>
      </c>
      <c r="F242" s="6">
        <v>2.5499999999999998</v>
      </c>
    </row>
    <row r="243" spans="1:6" x14ac:dyDescent="0.3">
      <c r="A243" s="5" t="s">
        <v>49</v>
      </c>
      <c r="B243" s="5" t="s">
        <v>45</v>
      </c>
      <c r="C243" s="5" t="s">
        <v>41</v>
      </c>
      <c r="D243" s="5" t="s">
        <v>30</v>
      </c>
      <c r="E243" s="6">
        <v>2.31</v>
      </c>
      <c r="F243" s="6">
        <v>2.87</v>
      </c>
    </row>
    <row r="244" spans="1:6" x14ac:dyDescent="0.3">
      <c r="A244" s="5" t="s">
        <v>49</v>
      </c>
      <c r="B244" s="5" t="s">
        <v>45</v>
      </c>
      <c r="C244" s="5" t="s">
        <v>41</v>
      </c>
      <c r="D244" s="5" t="s">
        <v>31</v>
      </c>
      <c r="E244" s="6">
        <v>1.84</v>
      </c>
      <c r="F244" s="6">
        <v>1.76</v>
      </c>
    </row>
    <row r="245" spans="1:6" x14ac:dyDescent="0.3">
      <c r="A245" s="5" t="s">
        <v>49</v>
      </c>
      <c r="B245" s="5" t="s">
        <v>45</v>
      </c>
      <c r="C245" s="5" t="s">
        <v>41</v>
      </c>
      <c r="D245" s="5" t="s">
        <v>32</v>
      </c>
      <c r="E245" s="6">
        <v>3.22</v>
      </c>
      <c r="F245" s="6">
        <v>3.67</v>
      </c>
    </row>
    <row r="246" spans="1:6" x14ac:dyDescent="0.3">
      <c r="A246" s="5" t="s">
        <v>49</v>
      </c>
      <c r="B246" s="5" t="s">
        <v>45</v>
      </c>
      <c r="C246" s="5" t="s">
        <v>41</v>
      </c>
      <c r="D246" s="5" t="s">
        <v>33</v>
      </c>
      <c r="E246" s="6">
        <v>2.2200000000000002</v>
      </c>
      <c r="F246" s="6">
        <v>2.76</v>
      </c>
    </row>
    <row r="247" spans="1:6" x14ac:dyDescent="0.3">
      <c r="A247" s="5" t="s">
        <v>49</v>
      </c>
      <c r="B247" s="5" t="s">
        <v>45</v>
      </c>
      <c r="C247" s="5" t="s">
        <v>41</v>
      </c>
      <c r="D247" s="5" t="s">
        <v>34</v>
      </c>
      <c r="E247" s="6">
        <v>1.48</v>
      </c>
      <c r="F247" s="6">
        <v>1.71</v>
      </c>
    </row>
    <row r="248" spans="1:6" x14ac:dyDescent="0.3">
      <c r="A248" s="5" t="s">
        <v>49</v>
      </c>
      <c r="B248" s="5" t="s">
        <v>45</v>
      </c>
      <c r="C248" s="5" t="s">
        <v>41</v>
      </c>
      <c r="D248" s="5" t="s">
        <v>35</v>
      </c>
      <c r="E248" s="6">
        <v>1.28</v>
      </c>
      <c r="F248" s="6">
        <v>1.77</v>
      </c>
    </row>
    <row r="249" spans="1:6" x14ac:dyDescent="0.3">
      <c r="A249" s="5" t="s">
        <v>49</v>
      </c>
      <c r="B249" s="5" t="s">
        <v>45</v>
      </c>
      <c r="C249" s="5" t="s">
        <v>41</v>
      </c>
      <c r="D249" s="5" t="s">
        <v>36</v>
      </c>
      <c r="E249" s="6">
        <v>1.28</v>
      </c>
      <c r="F249" s="6">
        <v>1.63</v>
      </c>
    </row>
    <row r="250" spans="1:6" x14ac:dyDescent="0.3">
      <c r="A250" s="5" t="s">
        <v>49</v>
      </c>
      <c r="B250" s="5" t="s">
        <v>45</v>
      </c>
      <c r="C250" s="5" t="s">
        <v>41</v>
      </c>
      <c r="D250" s="5" t="s">
        <v>37</v>
      </c>
      <c r="E250" s="6">
        <v>1.19</v>
      </c>
      <c r="F250" s="6">
        <v>1.54</v>
      </c>
    </row>
    <row r="251" spans="1:6" x14ac:dyDescent="0.3">
      <c r="A251" s="5" t="s">
        <v>49</v>
      </c>
      <c r="B251" s="5" t="s">
        <v>45</v>
      </c>
      <c r="C251" s="5" t="s">
        <v>41</v>
      </c>
      <c r="D251" s="5" t="s">
        <v>38</v>
      </c>
      <c r="E251" s="6">
        <v>1.04</v>
      </c>
      <c r="F251" s="6">
        <v>1.3</v>
      </c>
    </row>
    <row r="252" spans="1:6" x14ac:dyDescent="0.3">
      <c r="A252" s="5" t="s">
        <v>49</v>
      </c>
      <c r="B252" s="5" t="s">
        <v>46</v>
      </c>
      <c r="C252" s="5" t="s">
        <v>41</v>
      </c>
      <c r="D252" s="5" t="s">
        <v>29</v>
      </c>
      <c r="E252" s="6">
        <v>5.98</v>
      </c>
      <c r="F252" s="6">
        <v>8.59</v>
      </c>
    </row>
    <row r="253" spans="1:6" x14ac:dyDescent="0.3">
      <c r="A253" s="5" t="s">
        <v>49</v>
      </c>
      <c r="B253" s="5" t="s">
        <v>46</v>
      </c>
      <c r="C253" s="5" t="s">
        <v>41</v>
      </c>
      <c r="D253" s="5" t="s">
        <v>30</v>
      </c>
      <c r="E253" s="6">
        <v>7.78</v>
      </c>
      <c r="F253" s="6">
        <v>12.86</v>
      </c>
    </row>
    <row r="254" spans="1:6" x14ac:dyDescent="0.3">
      <c r="A254" s="5" t="s">
        <v>49</v>
      </c>
      <c r="B254" s="5" t="s">
        <v>46</v>
      </c>
      <c r="C254" s="5" t="s">
        <v>41</v>
      </c>
      <c r="D254" s="5" t="s">
        <v>31</v>
      </c>
      <c r="E254" s="6">
        <v>5.27</v>
      </c>
      <c r="F254" s="6">
        <v>6.78</v>
      </c>
    </row>
    <row r="255" spans="1:6" x14ac:dyDescent="0.3">
      <c r="A255" s="5" t="s">
        <v>49</v>
      </c>
      <c r="B255" s="5" t="s">
        <v>46</v>
      </c>
      <c r="C255" s="5" t="s">
        <v>41</v>
      </c>
      <c r="D255" s="5" t="s">
        <v>32</v>
      </c>
      <c r="E255" s="6">
        <v>6.41</v>
      </c>
      <c r="F255" s="6">
        <v>11.64</v>
      </c>
    </row>
    <row r="256" spans="1:6" x14ac:dyDescent="0.3">
      <c r="A256" s="5" t="s">
        <v>49</v>
      </c>
      <c r="B256" s="5" t="s">
        <v>46</v>
      </c>
      <c r="C256" s="5" t="s">
        <v>41</v>
      </c>
      <c r="D256" s="5" t="s">
        <v>33</v>
      </c>
      <c r="E256" s="6">
        <v>7.85</v>
      </c>
      <c r="F256" s="6">
        <v>13.7</v>
      </c>
    </row>
    <row r="257" spans="1:6" x14ac:dyDescent="0.3">
      <c r="A257" s="5" t="s">
        <v>49</v>
      </c>
      <c r="B257" s="5" t="s">
        <v>46</v>
      </c>
      <c r="C257" s="5" t="s">
        <v>41</v>
      </c>
      <c r="D257" s="5" t="s">
        <v>34</v>
      </c>
      <c r="E257" s="6">
        <v>8.4600000000000009</v>
      </c>
      <c r="F257" s="6">
        <v>11.27</v>
      </c>
    </row>
    <row r="258" spans="1:6" x14ac:dyDescent="0.3">
      <c r="A258" s="5" t="s">
        <v>49</v>
      </c>
      <c r="B258" s="5" t="s">
        <v>46</v>
      </c>
      <c r="C258" s="5" t="s">
        <v>41</v>
      </c>
      <c r="D258" s="5" t="s">
        <v>35</v>
      </c>
      <c r="E258" s="6">
        <v>8.1199999999999992</v>
      </c>
      <c r="F258" s="6">
        <v>11.48</v>
      </c>
    </row>
    <row r="259" spans="1:6" x14ac:dyDescent="0.3">
      <c r="A259" s="5" t="s">
        <v>49</v>
      </c>
      <c r="B259" s="5" t="s">
        <v>46</v>
      </c>
      <c r="C259" s="5" t="s">
        <v>41</v>
      </c>
      <c r="D259" s="5" t="s">
        <v>36</v>
      </c>
      <c r="E259" s="6">
        <v>8.27</v>
      </c>
      <c r="F259" s="6">
        <v>10.35</v>
      </c>
    </row>
    <row r="260" spans="1:6" x14ac:dyDescent="0.3">
      <c r="A260" s="5" t="s">
        <v>49</v>
      </c>
      <c r="B260" s="5" t="s">
        <v>46</v>
      </c>
      <c r="C260" s="5" t="s">
        <v>41</v>
      </c>
      <c r="D260" s="5" t="s">
        <v>37</v>
      </c>
      <c r="E260" s="6">
        <v>8.7899999999999991</v>
      </c>
      <c r="F260" s="6">
        <v>13.59</v>
      </c>
    </row>
    <row r="261" spans="1:6" x14ac:dyDescent="0.3">
      <c r="A261" s="5" t="s">
        <v>49</v>
      </c>
      <c r="B261" s="5" t="s">
        <v>46</v>
      </c>
      <c r="C261" s="5" t="s">
        <v>41</v>
      </c>
      <c r="D261" s="5" t="s">
        <v>38</v>
      </c>
      <c r="E261" s="6">
        <v>9.7899999999999991</v>
      </c>
      <c r="F261" s="6">
        <v>14.74</v>
      </c>
    </row>
    <row r="262" spans="1:6" x14ac:dyDescent="0.3">
      <c r="A262" s="5" t="s">
        <v>49</v>
      </c>
      <c r="B262" s="5" t="s">
        <v>47</v>
      </c>
      <c r="C262" s="5" t="s">
        <v>41</v>
      </c>
      <c r="D262" s="5" t="s">
        <v>29</v>
      </c>
      <c r="E262" s="6">
        <v>3.97</v>
      </c>
      <c r="F262" s="6">
        <v>273.77999999999997</v>
      </c>
    </row>
    <row r="263" spans="1:6" x14ac:dyDescent="0.3">
      <c r="A263" s="5" t="s">
        <v>49</v>
      </c>
      <c r="B263" s="5" t="s">
        <v>47</v>
      </c>
      <c r="C263" s="5" t="s">
        <v>41</v>
      </c>
      <c r="D263" s="5" t="s">
        <v>30</v>
      </c>
      <c r="E263" s="6">
        <v>3.7</v>
      </c>
      <c r="F263" s="6">
        <v>311.35000000000002</v>
      </c>
    </row>
    <row r="264" spans="1:6" x14ac:dyDescent="0.3">
      <c r="A264" s="5" t="s">
        <v>49</v>
      </c>
      <c r="B264" s="5" t="s">
        <v>47</v>
      </c>
      <c r="C264" s="5" t="s">
        <v>41</v>
      </c>
      <c r="D264" s="5" t="s">
        <v>31</v>
      </c>
      <c r="E264" s="6">
        <v>4.71</v>
      </c>
      <c r="F264" s="6">
        <v>424.08</v>
      </c>
    </row>
    <row r="265" spans="1:6" x14ac:dyDescent="0.3">
      <c r="A265" s="5" t="s">
        <v>49</v>
      </c>
      <c r="B265" s="5" t="s">
        <v>47</v>
      </c>
      <c r="C265" s="5" t="s">
        <v>41</v>
      </c>
      <c r="D265" s="5" t="s">
        <v>32</v>
      </c>
      <c r="E265" s="6">
        <v>4.29</v>
      </c>
      <c r="F265" s="6">
        <v>381.81</v>
      </c>
    </row>
    <row r="266" spans="1:6" x14ac:dyDescent="0.3">
      <c r="A266" s="5" t="s">
        <v>49</v>
      </c>
      <c r="B266" s="5" t="s">
        <v>47</v>
      </c>
      <c r="C266" s="5" t="s">
        <v>41</v>
      </c>
      <c r="D266" s="5" t="s">
        <v>33</v>
      </c>
      <c r="E266" s="6">
        <v>4.43</v>
      </c>
      <c r="F266" s="6">
        <v>425.28</v>
      </c>
    </row>
    <row r="267" spans="1:6" x14ac:dyDescent="0.3">
      <c r="A267" s="5" t="s">
        <v>49</v>
      </c>
      <c r="B267" s="5" t="s">
        <v>47</v>
      </c>
      <c r="C267" s="5" t="s">
        <v>41</v>
      </c>
      <c r="D267" s="5" t="s">
        <v>34</v>
      </c>
      <c r="E267" s="6">
        <v>6.37</v>
      </c>
      <c r="F267" s="6">
        <v>611.52</v>
      </c>
    </row>
    <row r="268" spans="1:6" x14ac:dyDescent="0.3">
      <c r="A268" s="5" t="s">
        <v>49</v>
      </c>
      <c r="B268" s="5" t="s">
        <v>47</v>
      </c>
      <c r="C268" s="5" t="s">
        <v>41</v>
      </c>
      <c r="D268" s="5" t="s">
        <v>35</v>
      </c>
      <c r="E268" s="6">
        <v>6.59</v>
      </c>
      <c r="F268" s="6">
        <v>593.46</v>
      </c>
    </row>
    <row r="269" spans="1:6" x14ac:dyDescent="0.3">
      <c r="A269" s="5" t="s">
        <v>49</v>
      </c>
      <c r="B269" s="5" t="s">
        <v>47</v>
      </c>
      <c r="C269" s="5" t="s">
        <v>41</v>
      </c>
      <c r="D269" s="5" t="s">
        <v>36</v>
      </c>
      <c r="E269" s="6">
        <v>5.43</v>
      </c>
      <c r="F269" s="6">
        <v>418.11</v>
      </c>
    </row>
    <row r="270" spans="1:6" x14ac:dyDescent="0.3">
      <c r="A270" s="5" t="s">
        <v>49</v>
      </c>
      <c r="B270" s="5" t="s">
        <v>47</v>
      </c>
      <c r="C270" s="5" t="s">
        <v>41</v>
      </c>
      <c r="D270" s="5" t="s">
        <v>37</v>
      </c>
      <c r="E270" s="6">
        <v>5.4</v>
      </c>
      <c r="F270" s="6">
        <v>480.6</v>
      </c>
    </row>
    <row r="271" spans="1:6" x14ac:dyDescent="0.3">
      <c r="A271" s="5" t="s">
        <v>49</v>
      </c>
      <c r="B271" s="5" t="s">
        <v>47</v>
      </c>
      <c r="C271" s="5" t="s">
        <v>41</v>
      </c>
      <c r="D271" s="5" t="s">
        <v>38</v>
      </c>
      <c r="E271" s="6">
        <v>6.51</v>
      </c>
      <c r="F271" s="6">
        <v>572.88</v>
      </c>
    </row>
    <row r="272" spans="1:6" x14ac:dyDescent="0.3">
      <c r="A272" s="5" t="s">
        <v>50</v>
      </c>
      <c r="B272" s="5" t="s">
        <v>27</v>
      </c>
      <c r="C272" s="5" t="s">
        <v>28</v>
      </c>
      <c r="D272" s="5" t="s">
        <v>29</v>
      </c>
      <c r="E272" s="6">
        <v>12.63</v>
      </c>
      <c r="F272" s="6">
        <v>32.65</v>
      </c>
    </row>
    <row r="273" spans="1:6" x14ac:dyDescent="0.3">
      <c r="A273" s="5" t="s">
        <v>50</v>
      </c>
      <c r="B273" s="5" t="s">
        <v>27</v>
      </c>
      <c r="C273" s="5" t="s">
        <v>28</v>
      </c>
      <c r="D273" s="5" t="s">
        <v>30</v>
      </c>
      <c r="E273" s="6">
        <v>13.17</v>
      </c>
      <c r="F273" s="6">
        <v>34.04</v>
      </c>
    </row>
    <row r="274" spans="1:6" x14ac:dyDescent="0.3">
      <c r="A274" s="5" t="s">
        <v>50</v>
      </c>
      <c r="B274" s="5" t="s">
        <v>27</v>
      </c>
      <c r="C274" s="5" t="s">
        <v>28</v>
      </c>
      <c r="D274" s="5" t="s">
        <v>31</v>
      </c>
      <c r="E274" s="6">
        <v>12.56</v>
      </c>
      <c r="F274" s="6">
        <v>40.9</v>
      </c>
    </row>
    <row r="275" spans="1:6" x14ac:dyDescent="0.3">
      <c r="A275" s="5" t="s">
        <v>50</v>
      </c>
      <c r="B275" s="5" t="s">
        <v>27</v>
      </c>
      <c r="C275" s="5" t="s">
        <v>28</v>
      </c>
      <c r="D275" s="5" t="s">
        <v>32</v>
      </c>
      <c r="E275" s="6">
        <v>13.83</v>
      </c>
      <c r="F275" s="6">
        <v>39.86</v>
      </c>
    </row>
    <row r="276" spans="1:6" x14ac:dyDescent="0.3">
      <c r="A276" s="5" t="s">
        <v>50</v>
      </c>
      <c r="B276" s="5" t="s">
        <v>27</v>
      </c>
      <c r="C276" s="5" t="s">
        <v>28</v>
      </c>
      <c r="D276" s="5" t="s">
        <v>33</v>
      </c>
      <c r="E276" s="6">
        <v>13.83</v>
      </c>
      <c r="F276" s="6">
        <v>37.94</v>
      </c>
    </row>
    <row r="277" spans="1:6" x14ac:dyDescent="0.3">
      <c r="A277" s="5" t="s">
        <v>50</v>
      </c>
      <c r="B277" s="5" t="s">
        <v>27</v>
      </c>
      <c r="C277" s="5" t="s">
        <v>28</v>
      </c>
      <c r="D277" s="5" t="s">
        <v>34</v>
      </c>
      <c r="E277" s="6">
        <v>14</v>
      </c>
      <c r="F277" s="6">
        <v>46.07</v>
      </c>
    </row>
    <row r="278" spans="1:6" x14ac:dyDescent="0.3">
      <c r="A278" s="5" t="s">
        <v>50</v>
      </c>
      <c r="B278" s="5" t="s">
        <v>27</v>
      </c>
      <c r="C278" s="5" t="s">
        <v>28</v>
      </c>
      <c r="D278" s="5" t="s">
        <v>35</v>
      </c>
      <c r="E278" s="6">
        <v>14.48</v>
      </c>
      <c r="F278" s="6">
        <v>46.21</v>
      </c>
    </row>
    <row r="279" spans="1:6" x14ac:dyDescent="0.3">
      <c r="A279" s="5" t="s">
        <v>50</v>
      </c>
      <c r="B279" s="5" t="s">
        <v>27</v>
      </c>
      <c r="C279" s="5" t="s">
        <v>28</v>
      </c>
      <c r="D279" s="5" t="s">
        <v>36</v>
      </c>
      <c r="E279" s="6">
        <v>15.3</v>
      </c>
      <c r="F279" s="6">
        <v>42.74</v>
      </c>
    </row>
    <row r="280" spans="1:6" x14ac:dyDescent="0.3">
      <c r="A280" s="5" t="s">
        <v>50</v>
      </c>
      <c r="B280" s="5" t="s">
        <v>27</v>
      </c>
      <c r="C280" s="5" t="s">
        <v>28</v>
      </c>
      <c r="D280" s="5" t="s">
        <v>37</v>
      </c>
      <c r="E280" s="6">
        <v>20.77</v>
      </c>
      <c r="F280" s="6">
        <v>57.88</v>
      </c>
    </row>
    <row r="281" spans="1:6" x14ac:dyDescent="0.3">
      <c r="A281" s="5" t="s">
        <v>50</v>
      </c>
      <c r="B281" s="5" t="s">
        <v>27</v>
      </c>
      <c r="C281" s="5" t="s">
        <v>28</v>
      </c>
      <c r="D281" s="5" t="s">
        <v>38</v>
      </c>
      <c r="E281" s="6">
        <v>27.13</v>
      </c>
      <c r="F281" s="6">
        <v>90.75</v>
      </c>
    </row>
    <row r="282" spans="1:6" x14ac:dyDescent="0.3">
      <c r="A282" s="5" t="s">
        <v>50</v>
      </c>
      <c r="B282" s="5" t="s">
        <v>27</v>
      </c>
      <c r="C282" s="5" t="s">
        <v>39</v>
      </c>
      <c r="D282" s="5" t="s">
        <v>29</v>
      </c>
      <c r="E282" s="6">
        <v>0.21</v>
      </c>
      <c r="F282" s="6">
        <v>0.76</v>
      </c>
    </row>
    <row r="283" spans="1:6" x14ac:dyDescent="0.3">
      <c r="A283" s="5" t="s">
        <v>50</v>
      </c>
      <c r="B283" s="5" t="s">
        <v>27</v>
      </c>
      <c r="C283" s="5" t="s">
        <v>39</v>
      </c>
      <c r="D283" s="5" t="s">
        <v>30</v>
      </c>
      <c r="E283" s="6">
        <v>0.36</v>
      </c>
      <c r="F283" s="6">
        <v>1.33</v>
      </c>
    </row>
    <row r="284" spans="1:6" x14ac:dyDescent="0.3">
      <c r="A284" s="5" t="s">
        <v>50</v>
      </c>
      <c r="B284" s="5" t="s">
        <v>27</v>
      </c>
      <c r="C284" s="5" t="s">
        <v>39</v>
      </c>
      <c r="D284" s="5" t="s">
        <v>31</v>
      </c>
      <c r="E284" s="6">
        <v>0.11</v>
      </c>
      <c r="F284" s="6">
        <v>0.42</v>
      </c>
    </row>
    <row r="285" spans="1:6" x14ac:dyDescent="0.3">
      <c r="A285" s="5" t="s">
        <v>50</v>
      </c>
      <c r="B285" s="5" t="s">
        <v>27</v>
      </c>
      <c r="C285" s="5" t="s">
        <v>39</v>
      </c>
      <c r="D285" s="5" t="s">
        <v>32</v>
      </c>
      <c r="E285" s="6">
        <v>0.21</v>
      </c>
      <c r="F285" s="6">
        <v>0.84</v>
      </c>
    </row>
    <row r="286" spans="1:6" x14ac:dyDescent="0.3">
      <c r="A286" s="5" t="s">
        <v>50</v>
      </c>
      <c r="B286" s="5" t="s">
        <v>27</v>
      </c>
      <c r="C286" s="5" t="s">
        <v>39</v>
      </c>
      <c r="D286" s="5" t="s">
        <v>33</v>
      </c>
      <c r="E286" s="6">
        <v>0.22</v>
      </c>
      <c r="F286" s="6">
        <v>0.88</v>
      </c>
    </row>
    <row r="287" spans="1:6" x14ac:dyDescent="0.3">
      <c r="A287" s="5" t="s">
        <v>50</v>
      </c>
      <c r="B287" s="5" t="s">
        <v>27</v>
      </c>
      <c r="C287" s="5" t="s">
        <v>39</v>
      </c>
      <c r="D287" s="5" t="s">
        <v>34</v>
      </c>
      <c r="E287" s="6">
        <v>0</v>
      </c>
      <c r="F287" s="6">
        <v>0</v>
      </c>
    </row>
    <row r="288" spans="1:6" x14ac:dyDescent="0.3">
      <c r="A288" s="5" t="s">
        <v>50</v>
      </c>
      <c r="B288" s="5" t="s">
        <v>27</v>
      </c>
      <c r="C288" s="5" t="s">
        <v>39</v>
      </c>
      <c r="D288" s="5" t="s">
        <v>35</v>
      </c>
      <c r="E288" s="6"/>
      <c r="F288" s="6"/>
    </row>
    <row r="289" spans="1:6" x14ac:dyDescent="0.3">
      <c r="A289" s="5" t="s">
        <v>50</v>
      </c>
      <c r="B289" s="5" t="s">
        <v>27</v>
      </c>
      <c r="C289" s="5" t="s">
        <v>39</v>
      </c>
      <c r="D289" s="5" t="s">
        <v>36</v>
      </c>
      <c r="E289" s="6"/>
      <c r="F289" s="6"/>
    </row>
    <row r="290" spans="1:6" x14ac:dyDescent="0.3">
      <c r="A290" s="5" t="s">
        <v>50</v>
      </c>
      <c r="B290" s="5" t="s">
        <v>27</v>
      </c>
      <c r="C290" s="5" t="s">
        <v>39</v>
      </c>
      <c r="D290" s="5" t="s">
        <v>37</v>
      </c>
      <c r="E290" s="6">
        <v>2.2200000000000002</v>
      </c>
      <c r="F290" s="6">
        <v>8.35</v>
      </c>
    </row>
    <row r="291" spans="1:6" x14ac:dyDescent="0.3">
      <c r="A291" s="5" t="s">
        <v>50</v>
      </c>
      <c r="B291" s="5" t="s">
        <v>27</v>
      </c>
      <c r="C291" s="5" t="s">
        <v>39</v>
      </c>
      <c r="D291" s="5" t="s">
        <v>38</v>
      </c>
      <c r="E291" s="6">
        <v>1.72</v>
      </c>
      <c r="F291" s="6">
        <v>9.02</v>
      </c>
    </row>
    <row r="292" spans="1:6" x14ac:dyDescent="0.3">
      <c r="A292" s="5" t="s">
        <v>50</v>
      </c>
      <c r="B292" s="5" t="s">
        <v>27</v>
      </c>
      <c r="C292" s="5" t="s">
        <v>40</v>
      </c>
      <c r="D292" s="5" t="s">
        <v>29</v>
      </c>
      <c r="E292" s="6"/>
      <c r="F292" s="6"/>
    </row>
    <row r="293" spans="1:6" x14ac:dyDescent="0.3">
      <c r="A293" s="5" t="s">
        <v>50</v>
      </c>
      <c r="B293" s="5" t="s">
        <v>27</v>
      </c>
      <c r="C293" s="5" t="s">
        <v>40</v>
      </c>
      <c r="D293" s="5" t="s">
        <v>30</v>
      </c>
      <c r="E293" s="6"/>
      <c r="F293" s="6"/>
    </row>
    <row r="294" spans="1:6" x14ac:dyDescent="0.3">
      <c r="A294" s="5" t="s">
        <v>50</v>
      </c>
      <c r="B294" s="5" t="s">
        <v>27</v>
      </c>
      <c r="C294" s="5" t="s">
        <v>40</v>
      </c>
      <c r="D294" s="5" t="s">
        <v>31</v>
      </c>
      <c r="E294" s="6"/>
      <c r="F294" s="6"/>
    </row>
    <row r="295" spans="1:6" x14ac:dyDescent="0.3">
      <c r="A295" s="5" t="s">
        <v>50</v>
      </c>
      <c r="B295" s="5" t="s">
        <v>27</v>
      </c>
      <c r="C295" s="5" t="s">
        <v>40</v>
      </c>
      <c r="D295" s="5" t="s">
        <v>32</v>
      </c>
      <c r="E295" s="6"/>
      <c r="F295" s="6"/>
    </row>
    <row r="296" spans="1:6" x14ac:dyDescent="0.3">
      <c r="A296" s="5" t="s">
        <v>50</v>
      </c>
      <c r="B296" s="5" t="s">
        <v>27</v>
      </c>
      <c r="C296" s="5" t="s">
        <v>40</v>
      </c>
      <c r="D296" s="5" t="s">
        <v>33</v>
      </c>
      <c r="E296" s="6"/>
      <c r="F296" s="6"/>
    </row>
    <row r="297" spans="1:6" x14ac:dyDescent="0.3">
      <c r="A297" s="5" t="s">
        <v>50</v>
      </c>
      <c r="B297" s="5" t="s">
        <v>27</v>
      </c>
      <c r="C297" s="5" t="s">
        <v>40</v>
      </c>
      <c r="D297" s="5" t="s">
        <v>34</v>
      </c>
      <c r="E297" s="6"/>
      <c r="F297" s="6"/>
    </row>
    <row r="298" spans="1:6" x14ac:dyDescent="0.3">
      <c r="A298" s="5" t="s">
        <v>50</v>
      </c>
      <c r="B298" s="5" t="s">
        <v>27</v>
      </c>
      <c r="C298" s="5" t="s">
        <v>40</v>
      </c>
      <c r="D298" s="5" t="s">
        <v>35</v>
      </c>
      <c r="E298" s="6"/>
      <c r="F298" s="6"/>
    </row>
    <row r="299" spans="1:6" x14ac:dyDescent="0.3">
      <c r="A299" s="5" t="s">
        <v>50</v>
      </c>
      <c r="B299" s="5" t="s">
        <v>27</v>
      </c>
      <c r="C299" s="5" t="s">
        <v>40</v>
      </c>
      <c r="D299" s="5" t="s">
        <v>36</v>
      </c>
      <c r="E299" s="6">
        <v>0.13</v>
      </c>
      <c r="F299" s="6">
        <v>0.65</v>
      </c>
    </row>
    <row r="300" spans="1:6" x14ac:dyDescent="0.3">
      <c r="A300" s="5" t="s">
        <v>50</v>
      </c>
      <c r="B300" s="5" t="s">
        <v>27</v>
      </c>
      <c r="C300" s="5" t="s">
        <v>40</v>
      </c>
      <c r="D300" s="5" t="s">
        <v>37</v>
      </c>
      <c r="E300" s="6">
        <v>0.04</v>
      </c>
      <c r="F300" s="6">
        <v>0.19</v>
      </c>
    </row>
    <row r="301" spans="1:6" x14ac:dyDescent="0.3">
      <c r="A301" s="5" t="s">
        <v>50</v>
      </c>
      <c r="B301" s="5" t="s">
        <v>27</v>
      </c>
      <c r="C301" s="5" t="s">
        <v>40</v>
      </c>
      <c r="D301" s="5" t="s">
        <v>38</v>
      </c>
      <c r="E301" s="6">
        <v>0.15</v>
      </c>
      <c r="F301" s="6">
        <v>0.73</v>
      </c>
    </row>
    <row r="302" spans="1:6" x14ac:dyDescent="0.3">
      <c r="A302" s="5" t="s">
        <v>50</v>
      </c>
      <c r="B302" s="5" t="s">
        <v>27</v>
      </c>
      <c r="C302" s="5" t="s">
        <v>41</v>
      </c>
      <c r="D302" s="5" t="s">
        <v>29</v>
      </c>
      <c r="E302" s="6">
        <v>12.84</v>
      </c>
      <c r="F302" s="6">
        <v>33.409999999999997</v>
      </c>
    </row>
    <row r="303" spans="1:6" x14ac:dyDescent="0.3">
      <c r="A303" s="5" t="s">
        <v>50</v>
      </c>
      <c r="B303" s="5" t="s">
        <v>27</v>
      </c>
      <c r="C303" s="5" t="s">
        <v>41</v>
      </c>
      <c r="D303" s="5" t="s">
        <v>30</v>
      </c>
      <c r="E303" s="6">
        <v>13.53</v>
      </c>
      <c r="F303" s="6">
        <v>35.369999999999997</v>
      </c>
    </row>
    <row r="304" spans="1:6" x14ac:dyDescent="0.3">
      <c r="A304" s="5" t="s">
        <v>50</v>
      </c>
      <c r="B304" s="5" t="s">
        <v>27</v>
      </c>
      <c r="C304" s="5" t="s">
        <v>41</v>
      </c>
      <c r="D304" s="5" t="s">
        <v>31</v>
      </c>
      <c r="E304" s="6">
        <v>12.67</v>
      </c>
      <c r="F304" s="6">
        <v>41.31</v>
      </c>
    </row>
    <row r="305" spans="1:6" x14ac:dyDescent="0.3">
      <c r="A305" s="5" t="s">
        <v>50</v>
      </c>
      <c r="B305" s="5" t="s">
        <v>27</v>
      </c>
      <c r="C305" s="5" t="s">
        <v>41</v>
      </c>
      <c r="D305" s="5" t="s">
        <v>32</v>
      </c>
      <c r="E305" s="6">
        <v>14.04</v>
      </c>
      <c r="F305" s="6">
        <v>40.700000000000003</v>
      </c>
    </row>
    <row r="306" spans="1:6" x14ac:dyDescent="0.3">
      <c r="A306" s="5" t="s">
        <v>50</v>
      </c>
      <c r="B306" s="5" t="s">
        <v>27</v>
      </c>
      <c r="C306" s="5" t="s">
        <v>41</v>
      </c>
      <c r="D306" s="5" t="s">
        <v>33</v>
      </c>
      <c r="E306" s="6">
        <v>14.05</v>
      </c>
      <c r="F306" s="6">
        <v>38.82</v>
      </c>
    </row>
    <row r="307" spans="1:6" x14ac:dyDescent="0.3">
      <c r="A307" s="5" t="s">
        <v>50</v>
      </c>
      <c r="B307" s="5" t="s">
        <v>27</v>
      </c>
      <c r="C307" s="5" t="s">
        <v>41</v>
      </c>
      <c r="D307" s="5" t="s">
        <v>34</v>
      </c>
      <c r="E307" s="6">
        <v>14</v>
      </c>
      <c r="F307" s="6">
        <v>46.07</v>
      </c>
    </row>
    <row r="308" spans="1:6" x14ac:dyDescent="0.3">
      <c r="A308" s="5" t="s">
        <v>50</v>
      </c>
      <c r="B308" s="5" t="s">
        <v>27</v>
      </c>
      <c r="C308" s="5" t="s">
        <v>41</v>
      </c>
      <c r="D308" s="5" t="s">
        <v>35</v>
      </c>
      <c r="E308" s="6">
        <v>14.48</v>
      </c>
      <c r="F308" s="6">
        <v>46.21</v>
      </c>
    </row>
    <row r="309" spans="1:6" x14ac:dyDescent="0.3">
      <c r="A309" s="5" t="s">
        <v>50</v>
      </c>
      <c r="B309" s="5" t="s">
        <v>27</v>
      </c>
      <c r="C309" s="5" t="s">
        <v>41</v>
      </c>
      <c r="D309" s="5" t="s">
        <v>36</v>
      </c>
      <c r="E309" s="6">
        <v>15.43</v>
      </c>
      <c r="F309" s="6">
        <v>43.39</v>
      </c>
    </row>
    <row r="310" spans="1:6" x14ac:dyDescent="0.3">
      <c r="A310" s="5" t="s">
        <v>50</v>
      </c>
      <c r="B310" s="5" t="s">
        <v>27</v>
      </c>
      <c r="C310" s="5" t="s">
        <v>41</v>
      </c>
      <c r="D310" s="5" t="s">
        <v>37</v>
      </c>
      <c r="E310" s="6">
        <v>23.03</v>
      </c>
      <c r="F310" s="6">
        <v>66.42</v>
      </c>
    </row>
    <row r="311" spans="1:6" x14ac:dyDescent="0.3">
      <c r="A311" s="5" t="s">
        <v>50</v>
      </c>
      <c r="B311" s="5" t="s">
        <v>27</v>
      </c>
      <c r="C311" s="5" t="s">
        <v>41</v>
      </c>
      <c r="D311" s="5" t="s">
        <v>38</v>
      </c>
      <c r="E311" s="6">
        <v>29</v>
      </c>
      <c r="F311" s="6">
        <v>100.49</v>
      </c>
    </row>
    <row r="312" spans="1:6" x14ac:dyDescent="0.3">
      <c r="A312" s="5" t="s">
        <v>50</v>
      </c>
      <c r="B312" s="5" t="s">
        <v>42</v>
      </c>
      <c r="C312" s="5" t="s">
        <v>41</v>
      </c>
      <c r="D312" s="5" t="s">
        <v>29</v>
      </c>
      <c r="E312" s="6">
        <v>22.89</v>
      </c>
      <c r="F312" s="6">
        <v>42.27</v>
      </c>
    </row>
    <row r="313" spans="1:6" x14ac:dyDescent="0.3">
      <c r="A313" s="5" t="s">
        <v>50</v>
      </c>
      <c r="B313" s="5" t="s">
        <v>42</v>
      </c>
      <c r="C313" s="5" t="s">
        <v>41</v>
      </c>
      <c r="D313" s="5" t="s">
        <v>30</v>
      </c>
      <c r="E313" s="6">
        <v>20.350000000000001</v>
      </c>
      <c r="F313" s="6">
        <v>41.24</v>
      </c>
    </row>
    <row r="314" spans="1:6" x14ac:dyDescent="0.3">
      <c r="A314" s="5" t="s">
        <v>50</v>
      </c>
      <c r="B314" s="5" t="s">
        <v>42</v>
      </c>
      <c r="C314" s="5" t="s">
        <v>41</v>
      </c>
      <c r="D314" s="5" t="s">
        <v>31</v>
      </c>
      <c r="E314" s="6">
        <v>23.91</v>
      </c>
      <c r="F314" s="6">
        <v>44.95</v>
      </c>
    </row>
    <row r="315" spans="1:6" x14ac:dyDescent="0.3">
      <c r="A315" s="5" t="s">
        <v>50</v>
      </c>
      <c r="B315" s="5" t="s">
        <v>42</v>
      </c>
      <c r="C315" s="5" t="s">
        <v>41</v>
      </c>
      <c r="D315" s="5" t="s">
        <v>32</v>
      </c>
      <c r="E315" s="6">
        <v>20.16</v>
      </c>
      <c r="F315" s="6">
        <v>47.78</v>
      </c>
    </row>
    <row r="316" spans="1:6" x14ac:dyDescent="0.3">
      <c r="A316" s="5" t="s">
        <v>50</v>
      </c>
      <c r="B316" s="5" t="s">
        <v>42</v>
      </c>
      <c r="C316" s="5" t="s">
        <v>41</v>
      </c>
      <c r="D316" s="5" t="s">
        <v>33</v>
      </c>
      <c r="E316" s="6">
        <v>21.17</v>
      </c>
      <c r="F316" s="6">
        <v>44.14</v>
      </c>
    </row>
    <row r="317" spans="1:6" x14ac:dyDescent="0.3">
      <c r="A317" s="5" t="s">
        <v>50</v>
      </c>
      <c r="B317" s="5" t="s">
        <v>42</v>
      </c>
      <c r="C317" s="5" t="s">
        <v>41</v>
      </c>
      <c r="D317" s="5" t="s">
        <v>34</v>
      </c>
      <c r="E317" s="6">
        <v>21.09</v>
      </c>
      <c r="F317" s="6">
        <v>48.15</v>
      </c>
    </row>
    <row r="318" spans="1:6" x14ac:dyDescent="0.3">
      <c r="A318" s="5" t="s">
        <v>50</v>
      </c>
      <c r="B318" s="5" t="s">
        <v>42</v>
      </c>
      <c r="C318" s="5" t="s">
        <v>41</v>
      </c>
      <c r="D318" s="5" t="s">
        <v>35</v>
      </c>
      <c r="E318" s="6">
        <v>34.14</v>
      </c>
      <c r="F318" s="6">
        <v>70.22</v>
      </c>
    </row>
    <row r="319" spans="1:6" x14ac:dyDescent="0.3">
      <c r="A319" s="5" t="s">
        <v>50</v>
      </c>
      <c r="B319" s="5" t="s">
        <v>42</v>
      </c>
      <c r="C319" s="5" t="s">
        <v>41</v>
      </c>
      <c r="D319" s="5" t="s">
        <v>36</v>
      </c>
      <c r="E319" s="6">
        <v>34.799999999999997</v>
      </c>
      <c r="F319" s="6">
        <v>72.400000000000006</v>
      </c>
    </row>
    <row r="320" spans="1:6" x14ac:dyDescent="0.3">
      <c r="A320" s="5" t="s">
        <v>50</v>
      </c>
      <c r="B320" s="5" t="s">
        <v>42</v>
      </c>
      <c r="C320" s="5" t="s">
        <v>41</v>
      </c>
      <c r="D320" s="5" t="s">
        <v>37</v>
      </c>
      <c r="E320" s="6">
        <v>38.85</v>
      </c>
      <c r="F320" s="6">
        <v>91.09</v>
      </c>
    </row>
    <row r="321" spans="1:6" x14ac:dyDescent="0.3">
      <c r="A321" s="5" t="s">
        <v>50</v>
      </c>
      <c r="B321" s="5" t="s">
        <v>42</v>
      </c>
      <c r="C321" s="5" t="s">
        <v>41</v>
      </c>
      <c r="D321" s="5" t="s">
        <v>38</v>
      </c>
      <c r="E321" s="6">
        <v>42.51</v>
      </c>
      <c r="F321" s="6">
        <v>101.09</v>
      </c>
    </row>
    <row r="322" spans="1:6" x14ac:dyDescent="0.3">
      <c r="A322" s="5" t="s">
        <v>50</v>
      </c>
      <c r="B322" s="5" t="s">
        <v>43</v>
      </c>
      <c r="C322" s="5" t="s">
        <v>41</v>
      </c>
      <c r="D322" s="5" t="s">
        <v>29</v>
      </c>
      <c r="E322" s="6">
        <v>60.28</v>
      </c>
      <c r="F322" s="6">
        <v>179.39</v>
      </c>
    </row>
    <row r="323" spans="1:6" x14ac:dyDescent="0.3">
      <c r="A323" s="5" t="s">
        <v>50</v>
      </c>
      <c r="B323" s="5" t="s">
        <v>43</v>
      </c>
      <c r="C323" s="5" t="s">
        <v>41</v>
      </c>
      <c r="D323" s="5" t="s">
        <v>30</v>
      </c>
      <c r="E323" s="6">
        <v>53.16</v>
      </c>
      <c r="F323" s="6">
        <v>159.11000000000001</v>
      </c>
    </row>
    <row r="324" spans="1:6" x14ac:dyDescent="0.3">
      <c r="A324" s="5" t="s">
        <v>50</v>
      </c>
      <c r="B324" s="5" t="s">
        <v>43</v>
      </c>
      <c r="C324" s="5" t="s">
        <v>41</v>
      </c>
      <c r="D324" s="5" t="s">
        <v>31</v>
      </c>
      <c r="E324" s="6">
        <v>55.2</v>
      </c>
      <c r="F324" s="6">
        <v>165.21</v>
      </c>
    </row>
    <row r="325" spans="1:6" x14ac:dyDescent="0.3">
      <c r="A325" s="5" t="s">
        <v>50</v>
      </c>
      <c r="B325" s="5" t="s">
        <v>43</v>
      </c>
      <c r="C325" s="5" t="s">
        <v>41</v>
      </c>
      <c r="D325" s="5" t="s">
        <v>32</v>
      </c>
      <c r="E325" s="6">
        <v>65.510000000000005</v>
      </c>
      <c r="F325" s="6">
        <v>196.07</v>
      </c>
    </row>
    <row r="326" spans="1:6" x14ac:dyDescent="0.3">
      <c r="A326" s="5" t="s">
        <v>50</v>
      </c>
      <c r="B326" s="5" t="s">
        <v>43</v>
      </c>
      <c r="C326" s="5" t="s">
        <v>41</v>
      </c>
      <c r="D326" s="5" t="s">
        <v>33</v>
      </c>
      <c r="E326" s="6">
        <v>60.83</v>
      </c>
      <c r="F326" s="6">
        <v>181.82</v>
      </c>
    </row>
    <row r="327" spans="1:6" x14ac:dyDescent="0.3">
      <c r="A327" s="5" t="s">
        <v>50</v>
      </c>
      <c r="B327" s="5" t="s">
        <v>43</v>
      </c>
      <c r="C327" s="5" t="s">
        <v>41</v>
      </c>
      <c r="D327" s="5" t="s">
        <v>34</v>
      </c>
      <c r="E327" s="6">
        <v>65</v>
      </c>
      <c r="F327" s="6">
        <v>229.78</v>
      </c>
    </row>
    <row r="328" spans="1:6" x14ac:dyDescent="0.3">
      <c r="A328" s="5" t="s">
        <v>50</v>
      </c>
      <c r="B328" s="5" t="s">
        <v>43</v>
      </c>
      <c r="C328" s="5" t="s">
        <v>41</v>
      </c>
      <c r="D328" s="5" t="s">
        <v>35</v>
      </c>
      <c r="E328" s="6">
        <v>71.5</v>
      </c>
      <c r="F328" s="6">
        <v>227.3</v>
      </c>
    </row>
    <row r="329" spans="1:6" x14ac:dyDescent="0.3">
      <c r="A329" s="5" t="s">
        <v>50</v>
      </c>
      <c r="B329" s="5" t="s">
        <v>43</v>
      </c>
      <c r="C329" s="5" t="s">
        <v>41</v>
      </c>
      <c r="D329" s="5" t="s">
        <v>36</v>
      </c>
      <c r="E329" s="6">
        <v>74.97</v>
      </c>
      <c r="F329" s="6">
        <v>225.81</v>
      </c>
    </row>
    <row r="330" spans="1:6" x14ac:dyDescent="0.3">
      <c r="A330" s="5" t="s">
        <v>50</v>
      </c>
      <c r="B330" s="5" t="s">
        <v>43</v>
      </c>
      <c r="C330" s="5" t="s">
        <v>41</v>
      </c>
      <c r="D330" s="5" t="s">
        <v>37</v>
      </c>
      <c r="E330" s="6">
        <v>77.489999999999995</v>
      </c>
      <c r="F330" s="6">
        <v>245.09</v>
      </c>
    </row>
    <row r="331" spans="1:6" x14ac:dyDescent="0.3">
      <c r="A331" s="5" t="s">
        <v>50</v>
      </c>
      <c r="B331" s="5" t="s">
        <v>43</v>
      </c>
      <c r="C331" s="5" t="s">
        <v>41</v>
      </c>
      <c r="D331" s="5" t="s">
        <v>38</v>
      </c>
      <c r="E331" s="6">
        <v>81.96</v>
      </c>
      <c r="F331" s="6">
        <v>264.43</v>
      </c>
    </row>
    <row r="332" spans="1:6" x14ac:dyDescent="0.3">
      <c r="A332" s="5" t="s">
        <v>50</v>
      </c>
      <c r="B332" s="5" t="s">
        <v>44</v>
      </c>
      <c r="C332" s="5" t="s">
        <v>41</v>
      </c>
      <c r="D332" s="5" t="s">
        <v>29</v>
      </c>
      <c r="E332" s="6">
        <v>2.2000000000000002</v>
      </c>
      <c r="F332" s="6">
        <v>3.79</v>
      </c>
    </row>
    <row r="333" spans="1:6" x14ac:dyDescent="0.3">
      <c r="A333" s="5" t="s">
        <v>50</v>
      </c>
      <c r="B333" s="5" t="s">
        <v>44</v>
      </c>
      <c r="C333" s="5" t="s">
        <v>41</v>
      </c>
      <c r="D333" s="5" t="s">
        <v>30</v>
      </c>
      <c r="E333" s="6">
        <v>2.7</v>
      </c>
      <c r="F333" s="6">
        <v>5.7</v>
      </c>
    </row>
    <row r="334" spans="1:6" x14ac:dyDescent="0.3">
      <c r="A334" s="5" t="s">
        <v>50</v>
      </c>
      <c r="B334" s="5" t="s">
        <v>44</v>
      </c>
      <c r="C334" s="5" t="s">
        <v>41</v>
      </c>
      <c r="D334" s="5" t="s">
        <v>31</v>
      </c>
      <c r="E334" s="6">
        <v>0.75</v>
      </c>
      <c r="F334" s="6">
        <v>1.64</v>
      </c>
    </row>
    <row r="335" spans="1:6" x14ac:dyDescent="0.3">
      <c r="A335" s="5" t="s">
        <v>50</v>
      </c>
      <c r="B335" s="5" t="s">
        <v>44</v>
      </c>
      <c r="C335" s="5" t="s">
        <v>41</v>
      </c>
      <c r="D335" s="5" t="s">
        <v>32</v>
      </c>
      <c r="E335" s="6">
        <v>1.08</v>
      </c>
      <c r="F335" s="6">
        <v>1.65</v>
      </c>
    </row>
    <row r="336" spans="1:6" x14ac:dyDescent="0.3">
      <c r="A336" s="5" t="s">
        <v>50</v>
      </c>
      <c r="B336" s="5" t="s">
        <v>44</v>
      </c>
      <c r="C336" s="5" t="s">
        <v>41</v>
      </c>
      <c r="D336" s="5" t="s">
        <v>33</v>
      </c>
      <c r="E336" s="6">
        <v>1.1200000000000001</v>
      </c>
      <c r="F336" s="6">
        <v>2.17</v>
      </c>
    </row>
    <row r="337" spans="1:6" x14ac:dyDescent="0.3">
      <c r="A337" s="5" t="s">
        <v>50</v>
      </c>
      <c r="B337" s="5" t="s">
        <v>44</v>
      </c>
      <c r="C337" s="5" t="s">
        <v>41</v>
      </c>
      <c r="D337" s="5" t="s">
        <v>34</v>
      </c>
      <c r="E337" s="6">
        <v>1.23</v>
      </c>
      <c r="F337" s="6">
        <v>2.36</v>
      </c>
    </row>
    <row r="338" spans="1:6" x14ac:dyDescent="0.3">
      <c r="A338" s="5" t="s">
        <v>50</v>
      </c>
      <c r="B338" s="5" t="s">
        <v>44</v>
      </c>
      <c r="C338" s="5" t="s">
        <v>41</v>
      </c>
      <c r="D338" s="5" t="s">
        <v>35</v>
      </c>
      <c r="E338" s="6">
        <v>0.97</v>
      </c>
      <c r="F338" s="6">
        <v>1.69</v>
      </c>
    </row>
    <row r="339" spans="1:6" x14ac:dyDescent="0.3">
      <c r="A339" s="5" t="s">
        <v>50</v>
      </c>
      <c r="B339" s="5" t="s">
        <v>44</v>
      </c>
      <c r="C339" s="5" t="s">
        <v>41</v>
      </c>
      <c r="D339" s="5" t="s">
        <v>36</v>
      </c>
      <c r="E339" s="6">
        <v>0.87</v>
      </c>
      <c r="F339" s="6">
        <v>1.63</v>
      </c>
    </row>
    <row r="340" spans="1:6" x14ac:dyDescent="0.3">
      <c r="A340" s="5" t="s">
        <v>50</v>
      </c>
      <c r="B340" s="5" t="s">
        <v>44</v>
      </c>
      <c r="C340" s="5" t="s">
        <v>41</v>
      </c>
      <c r="D340" s="5" t="s">
        <v>37</v>
      </c>
      <c r="E340" s="6">
        <v>0.9</v>
      </c>
      <c r="F340" s="6">
        <v>1.83</v>
      </c>
    </row>
    <row r="341" spans="1:6" x14ac:dyDescent="0.3">
      <c r="A341" s="5" t="s">
        <v>50</v>
      </c>
      <c r="B341" s="5" t="s">
        <v>44</v>
      </c>
      <c r="C341" s="5" t="s">
        <v>41</v>
      </c>
      <c r="D341" s="5" t="s">
        <v>38</v>
      </c>
      <c r="E341" s="6">
        <v>0.5</v>
      </c>
      <c r="F341" s="6">
        <v>1.02</v>
      </c>
    </row>
    <row r="342" spans="1:6" x14ac:dyDescent="0.3">
      <c r="A342" s="5" t="s">
        <v>50</v>
      </c>
      <c r="B342" s="5" t="s">
        <v>45</v>
      </c>
      <c r="C342" s="5" t="s">
        <v>41</v>
      </c>
      <c r="D342" s="5" t="s">
        <v>29</v>
      </c>
      <c r="E342" s="6">
        <v>2.8</v>
      </c>
      <c r="F342" s="6">
        <v>6.81</v>
      </c>
    </row>
    <row r="343" spans="1:6" x14ac:dyDescent="0.3">
      <c r="A343" s="5" t="s">
        <v>50</v>
      </c>
      <c r="B343" s="5" t="s">
        <v>45</v>
      </c>
      <c r="C343" s="5" t="s">
        <v>41</v>
      </c>
      <c r="D343" s="5" t="s">
        <v>30</v>
      </c>
      <c r="E343" s="6">
        <v>3.1</v>
      </c>
      <c r="F343" s="6">
        <v>7.55</v>
      </c>
    </row>
    <row r="344" spans="1:6" x14ac:dyDescent="0.3">
      <c r="A344" s="5" t="s">
        <v>50</v>
      </c>
      <c r="B344" s="5" t="s">
        <v>45</v>
      </c>
      <c r="C344" s="5" t="s">
        <v>41</v>
      </c>
      <c r="D344" s="5" t="s">
        <v>31</v>
      </c>
      <c r="E344" s="6">
        <v>3.27</v>
      </c>
      <c r="F344" s="6">
        <v>6.28</v>
      </c>
    </row>
    <row r="345" spans="1:6" x14ac:dyDescent="0.3">
      <c r="A345" s="5" t="s">
        <v>50</v>
      </c>
      <c r="B345" s="5" t="s">
        <v>45</v>
      </c>
      <c r="C345" s="5" t="s">
        <v>41</v>
      </c>
      <c r="D345" s="5" t="s">
        <v>32</v>
      </c>
      <c r="E345" s="6">
        <v>2.96</v>
      </c>
      <c r="F345" s="6">
        <v>6.57</v>
      </c>
    </row>
    <row r="346" spans="1:6" x14ac:dyDescent="0.3">
      <c r="A346" s="5" t="s">
        <v>50</v>
      </c>
      <c r="B346" s="5" t="s">
        <v>45</v>
      </c>
      <c r="C346" s="5" t="s">
        <v>41</v>
      </c>
      <c r="D346" s="5" t="s">
        <v>33</v>
      </c>
      <c r="E346" s="6">
        <v>3.27</v>
      </c>
      <c r="F346" s="6">
        <v>7.38</v>
      </c>
    </row>
    <row r="347" spans="1:6" x14ac:dyDescent="0.3">
      <c r="A347" s="5" t="s">
        <v>50</v>
      </c>
      <c r="B347" s="5" t="s">
        <v>45</v>
      </c>
      <c r="C347" s="5" t="s">
        <v>41</v>
      </c>
      <c r="D347" s="5" t="s">
        <v>34</v>
      </c>
      <c r="E347" s="6">
        <v>3.43</v>
      </c>
      <c r="F347" s="6">
        <v>8.69</v>
      </c>
    </row>
    <row r="348" spans="1:6" x14ac:dyDescent="0.3">
      <c r="A348" s="5" t="s">
        <v>50</v>
      </c>
      <c r="B348" s="5" t="s">
        <v>45</v>
      </c>
      <c r="C348" s="5" t="s">
        <v>41</v>
      </c>
      <c r="D348" s="5" t="s">
        <v>35</v>
      </c>
      <c r="E348" s="6">
        <v>3.63</v>
      </c>
      <c r="F348" s="6">
        <v>9.43</v>
      </c>
    </row>
    <row r="349" spans="1:6" x14ac:dyDescent="0.3">
      <c r="A349" s="5" t="s">
        <v>50</v>
      </c>
      <c r="B349" s="5" t="s">
        <v>45</v>
      </c>
      <c r="C349" s="5" t="s">
        <v>41</v>
      </c>
      <c r="D349" s="5" t="s">
        <v>36</v>
      </c>
      <c r="E349" s="6">
        <v>3.88</v>
      </c>
      <c r="F349" s="6">
        <v>10.029999999999999</v>
      </c>
    </row>
    <row r="350" spans="1:6" x14ac:dyDescent="0.3">
      <c r="A350" s="5" t="s">
        <v>50</v>
      </c>
      <c r="B350" s="5" t="s">
        <v>45</v>
      </c>
      <c r="C350" s="5" t="s">
        <v>41</v>
      </c>
      <c r="D350" s="5" t="s">
        <v>37</v>
      </c>
      <c r="E350" s="6">
        <v>2.87</v>
      </c>
      <c r="F350" s="6">
        <v>8.0399999999999991</v>
      </c>
    </row>
    <row r="351" spans="1:6" x14ac:dyDescent="0.3">
      <c r="A351" s="5" t="s">
        <v>50</v>
      </c>
      <c r="B351" s="5" t="s">
        <v>45</v>
      </c>
      <c r="C351" s="5" t="s">
        <v>41</v>
      </c>
      <c r="D351" s="5" t="s">
        <v>38</v>
      </c>
      <c r="E351" s="6">
        <v>2.37</v>
      </c>
      <c r="F351" s="6">
        <v>6.79</v>
      </c>
    </row>
    <row r="352" spans="1:6" x14ac:dyDescent="0.3">
      <c r="A352" s="5" t="s">
        <v>50</v>
      </c>
      <c r="B352" s="5" t="s">
        <v>47</v>
      </c>
      <c r="C352" s="5" t="s">
        <v>41</v>
      </c>
      <c r="D352" s="5" t="s">
        <v>29</v>
      </c>
      <c r="E352" s="6">
        <v>0.92</v>
      </c>
      <c r="F352" s="6">
        <v>47.3</v>
      </c>
    </row>
    <row r="353" spans="1:6" x14ac:dyDescent="0.3">
      <c r="A353" s="5" t="s">
        <v>50</v>
      </c>
      <c r="B353" s="5" t="s">
        <v>47</v>
      </c>
      <c r="C353" s="5" t="s">
        <v>41</v>
      </c>
      <c r="D353" s="5" t="s">
        <v>30</v>
      </c>
      <c r="E353" s="6">
        <v>0.98</v>
      </c>
      <c r="F353" s="6">
        <v>54.3</v>
      </c>
    </row>
    <row r="354" spans="1:6" x14ac:dyDescent="0.3">
      <c r="A354" s="5" t="s">
        <v>50</v>
      </c>
      <c r="B354" s="5" t="s">
        <v>47</v>
      </c>
      <c r="C354" s="5" t="s">
        <v>41</v>
      </c>
      <c r="D354" s="5" t="s">
        <v>31</v>
      </c>
      <c r="E354" s="6">
        <v>1.08</v>
      </c>
      <c r="F354" s="6">
        <v>52.82</v>
      </c>
    </row>
    <row r="355" spans="1:6" x14ac:dyDescent="0.3">
      <c r="A355" s="5" t="s">
        <v>50</v>
      </c>
      <c r="B355" s="5" t="s">
        <v>47</v>
      </c>
      <c r="C355" s="5" t="s">
        <v>41</v>
      </c>
      <c r="D355" s="5" t="s">
        <v>32</v>
      </c>
      <c r="E355" s="6">
        <v>1.25</v>
      </c>
      <c r="F355" s="6">
        <v>74.34</v>
      </c>
    </row>
    <row r="356" spans="1:6" x14ac:dyDescent="0.3">
      <c r="A356" s="5" t="s">
        <v>50</v>
      </c>
      <c r="B356" s="5" t="s">
        <v>47</v>
      </c>
      <c r="C356" s="5" t="s">
        <v>41</v>
      </c>
      <c r="D356" s="5" t="s">
        <v>33</v>
      </c>
      <c r="E356" s="6">
        <v>0.95</v>
      </c>
      <c r="F356" s="6">
        <v>54.41</v>
      </c>
    </row>
    <row r="357" spans="1:6" x14ac:dyDescent="0.3">
      <c r="A357" s="5" t="s">
        <v>50</v>
      </c>
      <c r="B357" s="5" t="s">
        <v>47</v>
      </c>
      <c r="C357" s="5" t="s">
        <v>41</v>
      </c>
      <c r="D357" s="5" t="s">
        <v>34</v>
      </c>
      <c r="E357" s="6">
        <v>0.93</v>
      </c>
      <c r="F357" s="6">
        <v>53.79</v>
      </c>
    </row>
    <row r="358" spans="1:6" x14ac:dyDescent="0.3">
      <c r="A358" s="5" t="s">
        <v>50</v>
      </c>
      <c r="B358" s="5" t="s">
        <v>47</v>
      </c>
      <c r="C358" s="5" t="s">
        <v>41</v>
      </c>
      <c r="D358" s="5" t="s">
        <v>35</v>
      </c>
      <c r="E358" s="6">
        <v>0.92</v>
      </c>
      <c r="F358" s="6">
        <v>64.44</v>
      </c>
    </row>
    <row r="359" spans="1:6" x14ac:dyDescent="0.3">
      <c r="A359" s="5" t="s">
        <v>50</v>
      </c>
      <c r="B359" s="5" t="s">
        <v>47</v>
      </c>
      <c r="C359" s="5" t="s">
        <v>41</v>
      </c>
      <c r="D359" s="5" t="s">
        <v>36</v>
      </c>
      <c r="E359" s="6">
        <v>1.1499999999999999</v>
      </c>
      <c r="F359" s="6">
        <v>75.900000000000006</v>
      </c>
    </row>
    <row r="360" spans="1:6" x14ac:dyDescent="0.3">
      <c r="A360" s="5" t="s">
        <v>50</v>
      </c>
      <c r="B360" s="5" t="s">
        <v>47</v>
      </c>
      <c r="C360" s="5" t="s">
        <v>41</v>
      </c>
      <c r="D360" s="5" t="s">
        <v>37</v>
      </c>
      <c r="E360" s="6">
        <v>1.07</v>
      </c>
      <c r="F360" s="6">
        <v>61.09</v>
      </c>
    </row>
    <row r="361" spans="1:6" x14ac:dyDescent="0.3">
      <c r="A361" s="5" t="s">
        <v>50</v>
      </c>
      <c r="B361" s="5" t="s">
        <v>47</v>
      </c>
      <c r="C361" s="5" t="s">
        <v>41</v>
      </c>
      <c r="D361" s="5" t="s">
        <v>38</v>
      </c>
      <c r="E361" s="6">
        <v>1.08</v>
      </c>
      <c r="F361" s="6">
        <v>63.61</v>
      </c>
    </row>
    <row r="362" spans="1:6" x14ac:dyDescent="0.3">
      <c r="A362" s="5" t="s">
        <v>51</v>
      </c>
      <c r="B362" s="5" t="s">
        <v>27</v>
      </c>
      <c r="C362" s="5" t="s">
        <v>28</v>
      </c>
      <c r="D362" s="5" t="s">
        <v>29</v>
      </c>
      <c r="E362" s="6">
        <v>7.52</v>
      </c>
      <c r="F362" s="6">
        <v>24.42</v>
      </c>
    </row>
    <row r="363" spans="1:6" x14ac:dyDescent="0.3">
      <c r="A363" s="5" t="s">
        <v>51</v>
      </c>
      <c r="B363" s="5" t="s">
        <v>27</v>
      </c>
      <c r="C363" s="5" t="s">
        <v>28</v>
      </c>
      <c r="D363" s="5" t="s">
        <v>30</v>
      </c>
      <c r="E363" s="6">
        <v>6.95</v>
      </c>
      <c r="F363" s="6">
        <v>21.66</v>
      </c>
    </row>
    <row r="364" spans="1:6" x14ac:dyDescent="0.3">
      <c r="A364" s="5" t="s">
        <v>51</v>
      </c>
      <c r="B364" s="5" t="s">
        <v>27</v>
      </c>
      <c r="C364" s="5" t="s">
        <v>28</v>
      </c>
      <c r="D364" s="5" t="s">
        <v>31</v>
      </c>
      <c r="E364" s="6">
        <v>7.08</v>
      </c>
      <c r="F364" s="6">
        <v>13.65</v>
      </c>
    </row>
    <row r="365" spans="1:6" x14ac:dyDescent="0.3">
      <c r="A365" s="5" t="s">
        <v>51</v>
      </c>
      <c r="B365" s="5" t="s">
        <v>27</v>
      </c>
      <c r="C365" s="5" t="s">
        <v>28</v>
      </c>
      <c r="D365" s="5" t="s">
        <v>32</v>
      </c>
      <c r="E365" s="6">
        <v>7.72</v>
      </c>
      <c r="F365" s="6">
        <v>10.52</v>
      </c>
    </row>
    <row r="366" spans="1:6" x14ac:dyDescent="0.3">
      <c r="A366" s="5" t="s">
        <v>51</v>
      </c>
      <c r="B366" s="5" t="s">
        <v>27</v>
      </c>
      <c r="C366" s="5" t="s">
        <v>28</v>
      </c>
      <c r="D366" s="5" t="s">
        <v>33</v>
      </c>
      <c r="E366" s="6">
        <v>7.89</v>
      </c>
      <c r="F366" s="6">
        <v>25.57</v>
      </c>
    </row>
    <row r="367" spans="1:6" x14ac:dyDescent="0.3">
      <c r="A367" s="5" t="s">
        <v>51</v>
      </c>
      <c r="B367" s="5" t="s">
        <v>27</v>
      </c>
      <c r="C367" s="5" t="s">
        <v>28</v>
      </c>
      <c r="D367" s="5" t="s">
        <v>34</v>
      </c>
      <c r="E367" s="6">
        <v>8.11</v>
      </c>
      <c r="F367" s="6">
        <v>21.86</v>
      </c>
    </row>
    <row r="368" spans="1:6" x14ac:dyDescent="0.3">
      <c r="A368" s="5" t="s">
        <v>51</v>
      </c>
      <c r="B368" s="5" t="s">
        <v>27</v>
      </c>
      <c r="C368" s="5" t="s">
        <v>28</v>
      </c>
      <c r="D368" s="5" t="s">
        <v>35</v>
      </c>
      <c r="E368" s="6">
        <v>8.81</v>
      </c>
      <c r="F368" s="6">
        <v>27.13</v>
      </c>
    </row>
    <row r="369" spans="1:6" x14ac:dyDescent="0.3">
      <c r="A369" s="5" t="s">
        <v>51</v>
      </c>
      <c r="B369" s="5" t="s">
        <v>27</v>
      </c>
      <c r="C369" s="5" t="s">
        <v>28</v>
      </c>
      <c r="D369" s="5" t="s">
        <v>36</v>
      </c>
      <c r="E369" s="6">
        <v>9.09</v>
      </c>
      <c r="F369" s="6">
        <v>14.41</v>
      </c>
    </row>
    <row r="370" spans="1:6" x14ac:dyDescent="0.3">
      <c r="A370" s="5" t="s">
        <v>51</v>
      </c>
      <c r="B370" s="5" t="s">
        <v>27</v>
      </c>
      <c r="C370" s="5" t="s">
        <v>28</v>
      </c>
      <c r="D370" s="5" t="s">
        <v>37</v>
      </c>
      <c r="E370" s="6">
        <v>11.16</v>
      </c>
      <c r="F370" s="6">
        <v>33.4</v>
      </c>
    </row>
    <row r="371" spans="1:6" x14ac:dyDescent="0.3">
      <c r="A371" s="5" t="s">
        <v>51</v>
      </c>
      <c r="B371" s="5" t="s">
        <v>27</v>
      </c>
      <c r="C371" s="5" t="s">
        <v>28</v>
      </c>
      <c r="D371" s="5" t="s">
        <v>38</v>
      </c>
      <c r="E371" s="6">
        <v>14.52</v>
      </c>
      <c r="F371" s="6">
        <v>35.24</v>
      </c>
    </row>
    <row r="372" spans="1:6" x14ac:dyDescent="0.3">
      <c r="A372" s="5" t="s">
        <v>51</v>
      </c>
      <c r="B372" s="5" t="s">
        <v>27</v>
      </c>
      <c r="C372" s="5" t="s">
        <v>39</v>
      </c>
      <c r="D372" s="5" t="s">
        <v>29</v>
      </c>
      <c r="E372" s="6">
        <v>3.95</v>
      </c>
      <c r="F372" s="6">
        <v>10.11</v>
      </c>
    </row>
    <row r="373" spans="1:6" x14ac:dyDescent="0.3">
      <c r="A373" s="5" t="s">
        <v>51</v>
      </c>
      <c r="B373" s="5" t="s">
        <v>27</v>
      </c>
      <c r="C373" s="5" t="s">
        <v>39</v>
      </c>
      <c r="D373" s="5" t="s">
        <v>30</v>
      </c>
      <c r="E373" s="6">
        <v>3.69</v>
      </c>
      <c r="F373" s="6">
        <v>8.86</v>
      </c>
    </row>
    <row r="374" spans="1:6" x14ac:dyDescent="0.3">
      <c r="A374" s="5" t="s">
        <v>51</v>
      </c>
      <c r="B374" s="5" t="s">
        <v>27</v>
      </c>
      <c r="C374" s="5" t="s">
        <v>39</v>
      </c>
      <c r="D374" s="5" t="s">
        <v>31</v>
      </c>
      <c r="E374" s="6">
        <v>2.19</v>
      </c>
      <c r="F374" s="6">
        <v>4.01</v>
      </c>
    </row>
    <row r="375" spans="1:6" x14ac:dyDescent="0.3">
      <c r="A375" s="5" t="s">
        <v>51</v>
      </c>
      <c r="B375" s="5" t="s">
        <v>27</v>
      </c>
      <c r="C375" s="5" t="s">
        <v>39</v>
      </c>
      <c r="D375" s="5" t="s">
        <v>32</v>
      </c>
      <c r="E375" s="6">
        <v>3.55</v>
      </c>
      <c r="F375" s="6">
        <v>9.08</v>
      </c>
    </row>
    <row r="376" spans="1:6" x14ac:dyDescent="0.3">
      <c r="A376" s="5" t="s">
        <v>51</v>
      </c>
      <c r="B376" s="5" t="s">
        <v>27</v>
      </c>
      <c r="C376" s="5" t="s">
        <v>39</v>
      </c>
      <c r="D376" s="5" t="s">
        <v>33</v>
      </c>
      <c r="E376" s="6">
        <v>3.93</v>
      </c>
      <c r="F376" s="6">
        <v>9.6300000000000008</v>
      </c>
    </row>
    <row r="377" spans="1:6" x14ac:dyDescent="0.3">
      <c r="A377" s="5" t="s">
        <v>51</v>
      </c>
      <c r="B377" s="5" t="s">
        <v>27</v>
      </c>
      <c r="C377" s="5" t="s">
        <v>39</v>
      </c>
      <c r="D377" s="5" t="s">
        <v>34</v>
      </c>
      <c r="E377" s="6">
        <v>4.4000000000000004</v>
      </c>
      <c r="F377" s="6">
        <v>13.99</v>
      </c>
    </row>
    <row r="378" spans="1:6" x14ac:dyDescent="0.3">
      <c r="A378" s="5" t="s">
        <v>51</v>
      </c>
      <c r="B378" s="5" t="s">
        <v>27</v>
      </c>
      <c r="C378" s="5" t="s">
        <v>39</v>
      </c>
      <c r="D378" s="5" t="s">
        <v>35</v>
      </c>
      <c r="E378" s="6">
        <v>4.24</v>
      </c>
      <c r="F378" s="6">
        <v>11.31</v>
      </c>
    </row>
    <row r="379" spans="1:6" x14ac:dyDescent="0.3">
      <c r="A379" s="5" t="s">
        <v>51</v>
      </c>
      <c r="B379" s="5" t="s">
        <v>27</v>
      </c>
      <c r="C379" s="5" t="s">
        <v>39</v>
      </c>
      <c r="D379" s="5" t="s">
        <v>36</v>
      </c>
      <c r="E379" s="6">
        <v>3.57</v>
      </c>
      <c r="F379" s="6">
        <v>9.0500000000000007</v>
      </c>
    </row>
    <row r="380" spans="1:6" x14ac:dyDescent="0.3">
      <c r="A380" s="5" t="s">
        <v>51</v>
      </c>
      <c r="B380" s="5" t="s">
        <v>27</v>
      </c>
      <c r="C380" s="5" t="s">
        <v>39</v>
      </c>
      <c r="D380" s="5" t="s">
        <v>37</v>
      </c>
      <c r="E380" s="6">
        <v>4.2300000000000004</v>
      </c>
      <c r="F380" s="6">
        <v>12.04</v>
      </c>
    </row>
    <row r="381" spans="1:6" x14ac:dyDescent="0.3">
      <c r="A381" s="5" t="s">
        <v>51</v>
      </c>
      <c r="B381" s="5" t="s">
        <v>27</v>
      </c>
      <c r="C381" s="5" t="s">
        <v>39</v>
      </c>
      <c r="D381" s="5" t="s">
        <v>38</v>
      </c>
      <c r="E381" s="6">
        <v>6.68</v>
      </c>
      <c r="F381" s="6">
        <v>19.96</v>
      </c>
    </row>
    <row r="382" spans="1:6" x14ac:dyDescent="0.3">
      <c r="A382" s="5" t="s">
        <v>51</v>
      </c>
      <c r="B382" s="5" t="s">
        <v>27</v>
      </c>
      <c r="C382" s="5" t="s">
        <v>40</v>
      </c>
      <c r="D382" s="5" t="s">
        <v>29</v>
      </c>
      <c r="E382" s="6"/>
      <c r="F382" s="6"/>
    </row>
    <row r="383" spans="1:6" x14ac:dyDescent="0.3">
      <c r="A383" s="5" t="s">
        <v>51</v>
      </c>
      <c r="B383" s="5" t="s">
        <v>27</v>
      </c>
      <c r="C383" s="5" t="s">
        <v>40</v>
      </c>
      <c r="D383" s="5" t="s">
        <v>30</v>
      </c>
      <c r="E383" s="6"/>
      <c r="F383" s="6"/>
    </row>
    <row r="384" spans="1:6" x14ac:dyDescent="0.3">
      <c r="A384" s="5" t="s">
        <v>51</v>
      </c>
      <c r="B384" s="5" t="s">
        <v>27</v>
      </c>
      <c r="C384" s="5" t="s">
        <v>40</v>
      </c>
      <c r="D384" s="5" t="s">
        <v>31</v>
      </c>
      <c r="E384" s="6"/>
      <c r="F384" s="6"/>
    </row>
    <row r="385" spans="1:6" x14ac:dyDescent="0.3">
      <c r="A385" s="5" t="s">
        <v>51</v>
      </c>
      <c r="B385" s="5" t="s">
        <v>27</v>
      </c>
      <c r="C385" s="5" t="s">
        <v>40</v>
      </c>
      <c r="D385" s="5" t="s">
        <v>32</v>
      </c>
      <c r="E385" s="6"/>
      <c r="F385" s="6"/>
    </row>
    <row r="386" spans="1:6" x14ac:dyDescent="0.3">
      <c r="A386" s="5" t="s">
        <v>51</v>
      </c>
      <c r="B386" s="5" t="s">
        <v>27</v>
      </c>
      <c r="C386" s="5" t="s">
        <v>40</v>
      </c>
      <c r="D386" s="5" t="s">
        <v>33</v>
      </c>
      <c r="E386" s="6"/>
      <c r="F386" s="6"/>
    </row>
    <row r="387" spans="1:6" x14ac:dyDescent="0.3">
      <c r="A387" s="5" t="s">
        <v>51</v>
      </c>
      <c r="B387" s="5" t="s">
        <v>27</v>
      </c>
      <c r="C387" s="5" t="s">
        <v>40</v>
      </c>
      <c r="D387" s="5" t="s">
        <v>34</v>
      </c>
      <c r="E387" s="6"/>
      <c r="F387" s="6"/>
    </row>
    <row r="388" spans="1:6" x14ac:dyDescent="0.3">
      <c r="A388" s="5" t="s">
        <v>51</v>
      </c>
      <c r="B388" s="5" t="s">
        <v>27</v>
      </c>
      <c r="C388" s="5" t="s">
        <v>40</v>
      </c>
      <c r="D388" s="5" t="s">
        <v>35</v>
      </c>
      <c r="E388" s="6">
        <v>0.41</v>
      </c>
      <c r="F388" s="6">
        <v>0.76</v>
      </c>
    </row>
    <row r="389" spans="1:6" x14ac:dyDescent="0.3">
      <c r="A389" s="5" t="s">
        <v>51</v>
      </c>
      <c r="B389" s="5" t="s">
        <v>27</v>
      </c>
      <c r="C389" s="5" t="s">
        <v>40</v>
      </c>
      <c r="D389" s="5" t="s">
        <v>36</v>
      </c>
      <c r="E389" s="6">
        <v>0.6</v>
      </c>
      <c r="F389" s="6">
        <v>1.04</v>
      </c>
    </row>
    <row r="390" spans="1:6" x14ac:dyDescent="0.3">
      <c r="A390" s="5" t="s">
        <v>51</v>
      </c>
      <c r="B390" s="5" t="s">
        <v>27</v>
      </c>
      <c r="C390" s="5" t="s">
        <v>40</v>
      </c>
      <c r="D390" s="5" t="s">
        <v>37</v>
      </c>
      <c r="E390" s="6">
        <v>0.87</v>
      </c>
      <c r="F390" s="6">
        <v>2.0499999999999998</v>
      </c>
    </row>
    <row r="391" spans="1:6" x14ac:dyDescent="0.3">
      <c r="A391" s="5" t="s">
        <v>51</v>
      </c>
      <c r="B391" s="5" t="s">
        <v>27</v>
      </c>
      <c r="C391" s="5" t="s">
        <v>40</v>
      </c>
      <c r="D391" s="5" t="s">
        <v>38</v>
      </c>
      <c r="E391" s="6">
        <v>0.98</v>
      </c>
      <c r="F391" s="6">
        <v>1.77</v>
      </c>
    </row>
    <row r="392" spans="1:6" x14ac:dyDescent="0.3">
      <c r="A392" s="5" t="s">
        <v>51</v>
      </c>
      <c r="B392" s="5" t="s">
        <v>27</v>
      </c>
      <c r="C392" s="5" t="s">
        <v>41</v>
      </c>
      <c r="D392" s="5" t="s">
        <v>29</v>
      </c>
      <c r="E392" s="6">
        <v>11.48</v>
      </c>
      <c r="F392" s="6">
        <v>34.53</v>
      </c>
    </row>
    <row r="393" spans="1:6" x14ac:dyDescent="0.3">
      <c r="A393" s="5" t="s">
        <v>51</v>
      </c>
      <c r="B393" s="5" t="s">
        <v>27</v>
      </c>
      <c r="C393" s="5" t="s">
        <v>41</v>
      </c>
      <c r="D393" s="5" t="s">
        <v>30</v>
      </c>
      <c r="E393" s="6">
        <v>10.64</v>
      </c>
      <c r="F393" s="6">
        <v>30.51</v>
      </c>
    </row>
    <row r="394" spans="1:6" x14ac:dyDescent="0.3">
      <c r="A394" s="5" t="s">
        <v>51</v>
      </c>
      <c r="B394" s="5" t="s">
        <v>27</v>
      </c>
      <c r="C394" s="5" t="s">
        <v>41</v>
      </c>
      <c r="D394" s="5" t="s">
        <v>31</v>
      </c>
      <c r="E394" s="6">
        <v>9.27</v>
      </c>
      <c r="F394" s="6">
        <v>17.66</v>
      </c>
    </row>
    <row r="395" spans="1:6" x14ac:dyDescent="0.3">
      <c r="A395" s="5" t="s">
        <v>51</v>
      </c>
      <c r="B395" s="5" t="s">
        <v>27</v>
      </c>
      <c r="C395" s="5" t="s">
        <v>41</v>
      </c>
      <c r="D395" s="5" t="s">
        <v>32</v>
      </c>
      <c r="E395" s="6">
        <v>11.27</v>
      </c>
      <c r="F395" s="6">
        <v>19.600000000000001</v>
      </c>
    </row>
    <row r="396" spans="1:6" x14ac:dyDescent="0.3">
      <c r="A396" s="5" t="s">
        <v>51</v>
      </c>
      <c r="B396" s="5" t="s">
        <v>27</v>
      </c>
      <c r="C396" s="5" t="s">
        <v>41</v>
      </c>
      <c r="D396" s="5" t="s">
        <v>33</v>
      </c>
      <c r="E396" s="6">
        <v>11.82</v>
      </c>
      <c r="F396" s="6">
        <v>35.200000000000003</v>
      </c>
    </row>
    <row r="397" spans="1:6" x14ac:dyDescent="0.3">
      <c r="A397" s="5" t="s">
        <v>51</v>
      </c>
      <c r="B397" s="5" t="s">
        <v>27</v>
      </c>
      <c r="C397" s="5" t="s">
        <v>41</v>
      </c>
      <c r="D397" s="5" t="s">
        <v>34</v>
      </c>
      <c r="E397" s="6">
        <v>12.51</v>
      </c>
      <c r="F397" s="6">
        <v>35.85</v>
      </c>
    </row>
    <row r="398" spans="1:6" x14ac:dyDescent="0.3">
      <c r="A398" s="5" t="s">
        <v>51</v>
      </c>
      <c r="B398" s="5" t="s">
        <v>27</v>
      </c>
      <c r="C398" s="5" t="s">
        <v>41</v>
      </c>
      <c r="D398" s="5" t="s">
        <v>35</v>
      </c>
      <c r="E398" s="6">
        <v>13.45</v>
      </c>
      <c r="F398" s="6">
        <v>39.19</v>
      </c>
    </row>
    <row r="399" spans="1:6" x14ac:dyDescent="0.3">
      <c r="A399" s="5" t="s">
        <v>51</v>
      </c>
      <c r="B399" s="5" t="s">
        <v>27</v>
      </c>
      <c r="C399" s="5" t="s">
        <v>41</v>
      </c>
      <c r="D399" s="5" t="s">
        <v>36</v>
      </c>
      <c r="E399" s="6">
        <v>13.26</v>
      </c>
      <c r="F399" s="6">
        <v>24.5</v>
      </c>
    </row>
    <row r="400" spans="1:6" x14ac:dyDescent="0.3">
      <c r="A400" s="5" t="s">
        <v>51</v>
      </c>
      <c r="B400" s="5" t="s">
        <v>27</v>
      </c>
      <c r="C400" s="5" t="s">
        <v>41</v>
      </c>
      <c r="D400" s="5" t="s">
        <v>37</v>
      </c>
      <c r="E400" s="6">
        <v>16.25</v>
      </c>
      <c r="F400" s="6">
        <v>47.49</v>
      </c>
    </row>
    <row r="401" spans="1:6" x14ac:dyDescent="0.3">
      <c r="A401" s="5" t="s">
        <v>51</v>
      </c>
      <c r="B401" s="5" t="s">
        <v>27</v>
      </c>
      <c r="C401" s="5" t="s">
        <v>41</v>
      </c>
      <c r="D401" s="5" t="s">
        <v>38</v>
      </c>
      <c r="E401" s="6">
        <v>22.18</v>
      </c>
      <c r="F401" s="6">
        <v>56.97</v>
      </c>
    </row>
    <row r="402" spans="1:6" x14ac:dyDescent="0.3">
      <c r="A402" s="5" t="s">
        <v>51</v>
      </c>
      <c r="B402" s="5" t="s">
        <v>42</v>
      </c>
      <c r="C402" s="5" t="s">
        <v>41</v>
      </c>
      <c r="D402" s="5" t="s">
        <v>29</v>
      </c>
      <c r="E402" s="6">
        <v>15.35</v>
      </c>
      <c r="F402" s="6">
        <v>31.1</v>
      </c>
    </row>
    <row r="403" spans="1:6" x14ac:dyDescent="0.3">
      <c r="A403" s="5" t="s">
        <v>51</v>
      </c>
      <c r="B403" s="5" t="s">
        <v>42</v>
      </c>
      <c r="C403" s="5" t="s">
        <v>41</v>
      </c>
      <c r="D403" s="5" t="s">
        <v>30</v>
      </c>
      <c r="E403" s="6">
        <v>14.51</v>
      </c>
      <c r="F403" s="6">
        <v>27.31</v>
      </c>
    </row>
    <row r="404" spans="1:6" x14ac:dyDescent="0.3">
      <c r="A404" s="5" t="s">
        <v>51</v>
      </c>
      <c r="B404" s="5" t="s">
        <v>42</v>
      </c>
      <c r="C404" s="5" t="s">
        <v>41</v>
      </c>
      <c r="D404" s="5" t="s">
        <v>31</v>
      </c>
      <c r="E404" s="6">
        <v>14.65</v>
      </c>
      <c r="F404" s="6">
        <v>32.76</v>
      </c>
    </row>
    <row r="405" spans="1:6" x14ac:dyDescent="0.3">
      <c r="A405" s="5" t="s">
        <v>51</v>
      </c>
      <c r="B405" s="5" t="s">
        <v>42</v>
      </c>
      <c r="C405" s="5" t="s">
        <v>41</v>
      </c>
      <c r="D405" s="5" t="s">
        <v>32</v>
      </c>
      <c r="E405" s="6">
        <v>15.53</v>
      </c>
      <c r="F405" s="6">
        <v>28.98</v>
      </c>
    </row>
    <row r="406" spans="1:6" x14ac:dyDescent="0.3">
      <c r="A406" s="5" t="s">
        <v>51</v>
      </c>
      <c r="B406" s="5" t="s">
        <v>42</v>
      </c>
      <c r="C406" s="5" t="s">
        <v>41</v>
      </c>
      <c r="D406" s="5" t="s">
        <v>33</v>
      </c>
      <c r="E406" s="6">
        <v>15.61</v>
      </c>
      <c r="F406" s="6">
        <v>32.92</v>
      </c>
    </row>
    <row r="407" spans="1:6" x14ac:dyDescent="0.3">
      <c r="A407" s="5" t="s">
        <v>51</v>
      </c>
      <c r="B407" s="5" t="s">
        <v>42</v>
      </c>
      <c r="C407" s="5" t="s">
        <v>41</v>
      </c>
      <c r="D407" s="5" t="s">
        <v>34</v>
      </c>
      <c r="E407" s="6">
        <v>16.52</v>
      </c>
      <c r="F407" s="6">
        <v>35.979999999999997</v>
      </c>
    </row>
    <row r="408" spans="1:6" x14ac:dyDescent="0.3">
      <c r="A408" s="5" t="s">
        <v>51</v>
      </c>
      <c r="B408" s="5" t="s">
        <v>42</v>
      </c>
      <c r="C408" s="5" t="s">
        <v>41</v>
      </c>
      <c r="D408" s="5" t="s">
        <v>35</v>
      </c>
      <c r="E408" s="6">
        <v>17.18</v>
      </c>
      <c r="F408" s="6">
        <v>38.99</v>
      </c>
    </row>
    <row r="409" spans="1:6" x14ac:dyDescent="0.3">
      <c r="A409" s="5" t="s">
        <v>51</v>
      </c>
      <c r="B409" s="5" t="s">
        <v>42</v>
      </c>
      <c r="C409" s="5" t="s">
        <v>41</v>
      </c>
      <c r="D409" s="5" t="s">
        <v>36</v>
      </c>
      <c r="E409" s="6">
        <v>16.93</v>
      </c>
      <c r="F409" s="6">
        <v>39</v>
      </c>
    </row>
    <row r="410" spans="1:6" x14ac:dyDescent="0.3">
      <c r="A410" s="5" t="s">
        <v>51</v>
      </c>
      <c r="B410" s="5" t="s">
        <v>42</v>
      </c>
      <c r="C410" s="5" t="s">
        <v>41</v>
      </c>
      <c r="D410" s="5" t="s">
        <v>37</v>
      </c>
      <c r="E410" s="6">
        <v>16.82</v>
      </c>
      <c r="F410" s="6">
        <v>38.67</v>
      </c>
    </row>
    <row r="411" spans="1:6" x14ac:dyDescent="0.3">
      <c r="A411" s="5" t="s">
        <v>51</v>
      </c>
      <c r="B411" s="5" t="s">
        <v>42</v>
      </c>
      <c r="C411" s="5" t="s">
        <v>41</v>
      </c>
      <c r="D411" s="5" t="s">
        <v>38</v>
      </c>
      <c r="E411" s="6">
        <v>16.87</v>
      </c>
      <c r="F411" s="6">
        <v>34</v>
      </c>
    </row>
    <row r="412" spans="1:6" x14ac:dyDescent="0.3">
      <c r="A412" s="5" t="s">
        <v>51</v>
      </c>
      <c r="B412" s="5" t="s">
        <v>43</v>
      </c>
      <c r="C412" s="5" t="s">
        <v>41</v>
      </c>
      <c r="D412" s="5" t="s">
        <v>29</v>
      </c>
      <c r="E412" s="6">
        <v>12.72</v>
      </c>
      <c r="F412" s="6">
        <v>18.75</v>
      </c>
    </row>
    <row r="413" spans="1:6" x14ac:dyDescent="0.3">
      <c r="A413" s="5" t="s">
        <v>51</v>
      </c>
      <c r="B413" s="5" t="s">
        <v>43</v>
      </c>
      <c r="C413" s="5" t="s">
        <v>41</v>
      </c>
      <c r="D413" s="5" t="s">
        <v>30</v>
      </c>
      <c r="E413" s="6">
        <v>10.24</v>
      </c>
      <c r="F413" s="6">
        <v>16.97</v>
      </c>
    </row>
    <row r="414" spans="1:6" x14ac:dyDescent="0.3">
      <c r="A414" s="5" t="s">
        <v>51</v>
      </c>
      <c r="B414" s="5" t="s">
        <v>43</v>
      </c>
      <c r="C414" s="5" t="s">
        <v>41</v>
      </c>
      <c r="D414" s="5" t="s">
        <v>31</v>
      </c>
      <c r="E414" s="6">
        <v>8.34</v>
      </c>
      <c r="F414" s="6">
        <v>12.49</v>
      </c>
    </row>
    <row r="415" spans="1:6" x14ac:dyDescent="0.3">
      <c r="A415" s="5" t="s">
        <v>51</v>
      </c>
      <c r="B415" s="5" t="s">
        <v>43</v>
      </c>
      <c r="C415" s="5" t="s">
        <v>41</v>
      </c>
      <c r="D415" s="5" t="s">
        <v>32</v>
      </c>
      <c r="E415" s="6">
        <v>10.57</v>
      </c>
      <c r="F415" s="6">
        <v>17.940000000000001</v>
      </c>
    </row>
    <row r="416" spans="1:6" x14ac:dyDescent="0.3">
      <c r="A416" s="5" t="s">
        <v>51</v>
      </c>
      <c r="B416" s="5" t="s">
        <v>43</v>
      </c>
      <c r="C416" s="5" t="s">
        <v>41</v>
      </c>
      <c r="D416" s="5" t="s">
        <v>33</v>
      </c>
      <c r="E416" s="6">
        <v>11.26</v>
      </c>
      <c r="F416" s="6">
        <v>20.71</v>
      </c>
    </row>
    <row r="417" spans="1:6" x14ac:dyDescent="0.3">
      <c r="A417" s="5" t="s">
        <v>51</v>
      </c>
      <c r="B417" s="5" t="s">
        <v>43</v>
      </c>
      <c r="C417" s="5" t="s">
        <v>41</v>
      </c>
      <c r="D417" s="5" t="s">
        <v>34</v>
      </c>
      <c r="E417" s="6">
        <v>11.32</v>
      </c>
      <c r="F417" s="6">
        <v>21.44</v>
      </c>
    </row>
    <row r="418" spans="1:6" x14ac:dyDescent="0.3">
      <c r="A418" s="5" t="s">
        <v>51</v>
      </c>
      <c r="B418" s="5" t="s">
        <v>43</v>
      </c>
      <c r="C418" s="5" t="s">
        <v>41</v>
      </c>
      <c r="D418" s="5" t="s">
        <v>35</v>
      </c>
      <c r="E418" s="6">
        <v>12.19</v>
      </c>
      <c r="F418" s="6">
        <v>23.74</v>
      </c>
    </row>
    <row r="419" spans="1:6" x14ac:dyDescent="0.3">
      <c r="A419" s="5" t="s">
        <v>51</v>
      </c>
      <c r="B419" s="5" t="s">
        <v>43</v>
      </c>
      <c r="C419" s="5" t="s">
        <v>41</v>
      </c>
      <c r="D419" s="5" t="s">
        <v>36</v>
      </c>
      <c r="E419" s="6">
        <v>10.47</v>
      </c>
      <c r="F419" s="6">
        <v>19.88</v>
      </c>
    </row>
    <row r="420" spans="1:6" x14ac:dyDescent="0.3">
      <c r="A420" s="5" t="s">
        <v>51</v>
      </c>
      <c r="B420" s="5" t="s">
        <v>43</v>
      </c>
      <c r="C420" s="5" t="s">
        <v>41</v>
      </c>
      <c r="D420" s="5" t="s">
        <v>37</v>
      </c>
      <c r="E420" s="6">
        <v>11.89</v>
      </c>
      <c r="F420" s="6">
        <v>22.86</v>
      </c>
    </row>
    <row r="421" spans="1:6" x14ac:dyDescent="0.3">
      <c r="A421" s="5" t="s">
        <v>51</v>
      </c>
      <c r="B421" s="5" t="s">
        <v>43</v>
      </c>
      <c r="C421" s="5" t="s">
        <v>41</v>
      </c>
      <c r="D421" s="5" t="s">
        <v>38</v>
      </c>
      <c r="E421" s="6">
        <v>12.14</v>
      </c>
      <c r="F421" s="6">
        <v>23.88</v>
      </c>
    </row>
    <row r="422" spans="1:6" x14ac:dyDescent="0.3">
      <c r="A422" s="5" t="s">
        <v>51</v>
      </c>
      <c r="B422" s="5" t="s">
        <v>44</v>
      </c>
      <c r="C422" s="5" t="s">
        <v>41</v>
      </c>
      <c r="D422" s="5" t="s">
        <v>29</v>
      </c>
      <c r="E422" s="6">
        <v>30.51</v>
      </c>
      <c r="F422" s="6">
        <v>21.7</v>
      </c>
    </row>
    <row r="423" spans="1:6" x14ac:dyDescent="0.3">
      <c r="A423" s="5" t="s">
        <v>51</v>
      </c>
      <c r="B423" s="5" t="s">
        <v>44</v>
      </c>
      <c r="C423" s="5" t="s">
        <v>41</v>
      </c>
      <c r="D423" s="5" t="s">
        <v>30</v>
      </c>
      <c r="E423" s="6">
        <v>22.31</v>
      </c>
      <c r="F423" s="6">
        <v>16.07</v>
      </c>
    </row>
    <row r="424" spans="1:6" x14ac:dyDescent="0.3">
      <c r="A424" s="5" t="s">
        <v>51</v>
      </c>
      <c r="B424" s="5" t="s">
        <v>44</v>
      </c>
      <c r="C424" s="5" t="s">
        <v>41</v>
      </c>
      <c r="D424" s="5" t="s">
        <v>31</v>
      </c>
      <c r="E424" s="6">
        <v>16.32</v>
      </c>
      <c r="F424" s="6">
        <v>8.7200000000000006</v>
      </c>
    </row>
    <row r="425" spans="1:6" x14ac:dyDescent="0.3">
      <c r="A425" s="5" t="s">
        <v>51</v>
      </c>
      <c r="B425" s="5" t="s">
        <v>44</v>
      </c>
      <c r="C425" s="5" t="s">
        <v>41</v>
      </c>
      <c r="D425" s="5" t="s">
        <v>32</v>
      </c>
      <c r="E425" s="6">
        <v>22.91</v>
      </c>
      <c r="F425" s="6">
        <v>18.079999999999998</v>
      </c>
    </row>
    <row r="426" spans="1:6" x14ac:dyDescent="0.3">
      <c r="A426" s="5" t="s">
        <v>51</v>
      </c>
      <c r="B426" s="5" t="s">
        <v>44</v>
      </c>
      <c r="C426" s="5" t="s">
        <v>41</v>
      </c>
      <c r="D426" s="5" t="s">
        <v>33</v>
      </c>
      <c r="E426" s="6">
        <v>20.79</v>
      </c>
      <c r="F426" s="6">
        <v>17.47</v>
      </c>
    </row>
    <row r="427" spans="1:6" x14ac:dyDescent="0.3">
      <c r="A427" s="5" t="s">
        <v>51</v>
      </c>
      <c r="B427" s="5" t="s">
        <v>44</v>
      </c>
      <c r="C427" s="5" t="s">
        <v>41</v>
      </c>
      <c r="D427" s="5" t="s">
        <v>34</v>
      </c>
      <c r="E427" s="6">
        <v>16.489999999999998</v>
      </c>
      <c r="F427" s="6">
        <v>15.58</v>
      </c>
    </row>
    <row r="428" spans="1:6" x14ac:dyDescent="0.3">
      <c r="A428" s="5" t="s">
        <v>51</v>
      </c>
      <c r="B428" s="5" t="s">
        <v>44</v>
      </c>
      <c r="C428" s="5" t="s">
        <v>41</v>
      </c>
      <c r="D428" s="5" t="s">
        <v>35</v>
      </c>
      <c r="E428" s="6">
        <v>14.78</v>
      </c>
      <c r="F428" s="6">
        <v>13.12</v>
      </c>
    </row>
    <row r="429" spans="1:6" x14ac:dyDescent="0.3">
      <c r="A429" s="5" t="s">
        <v>51</v>
      </c>
      <c r="B429" s="5" t="s">
        <v>44</v>
      </c>
      <c r="C429" s="5" t="s">
        <v>41</v>
      </c>
      <c r="D429" s="5" t="s">
        <v>36</v>
      </c>
      <c r="E429" s="6">
        <v>17.399999999999999</v>
      </c>
      <c r="F429" s="6">
        <v>17.760000000000002</v>
      </c>
    </row>
    <row r="430" spans="1:6" x14ac:dyDescent="0.3">
      <c r="A430" s="5" t="s">
        <v>51</v>
      </c>
      <c r="B430" s="5" t="s">
        <v>44</v>
      </c>
      <c r="C430" s="5" t="s">
        <v>41</v>
      </c>
      <c r="D430" s="5" t="s">
        <v>37</v>
      </c>
      <c r="E430" s="6">
        <v>16.91</v>
      </c>
      <c r="F430" s="6">
        <v>18.45</v>
      </c>
    </row>
    <row r="431" spans="1:6" x14ac:dyDescent="0.3">
      <c r="A431" s="5" t="s">
        <v>51</v>
      </c>
      <c r="B431" s="5" t="s">
        <v>44</v>
      </c>
      <c r="C431" s="5" t="s">
        <v>41</v>
      </c>
      <c r="D431" s="5" t="s">
        <v>38</v>
      </c>
      <c r="E431" s="6">
        <v>15.04</v>
      </c>
      <c r="F431" s="6">
        <v>16.14</v>
      </c>
    </row>
    <row r="432" spans="1:6" x14ac:dyDescent="0.3">
      <c r="A432" s="5" t="s">
        <v>51</v>
      </c>
      <c r="B432" s="5" t="s">
        <v>45</v>
      </c>
      <c r="C432" s="5" t="s">
        <v>41</v>
      </c>
      <c r="D432" s="5" t="s">
        <v>29</v>
      </c>
      <c r="E432" s="6">
        <v>8.3699999999999992</v>
      </c>
      <c r="F432" s="6">
        <v>8</v>
      </c>
    </row>
    <row r="433" spans="1:6" x14ac:dyDescent="0.3">
      <c r="A433" s="5" t="s">
        <v>51</v>
      </c>
      <c r="B433" s="5" t="s">
        <v>45</v>
      </c>
      <c r="C433" s="5" t="s">
        <v>41</v>
      </c>
      <c r="D433" s="5" t="s">
        <v>30</v>
      </c>
      <c r="E433" s="6">
        <v>7.88</v>
      </c>
      <c r="F433" s="6">
        <v>6.69</v>
      </c>
    </row>
    <row r="434" spans="1:6" x14ac:dyDescent="0.3">
      <c r="A434" s="5" t="s">
        <v>51</v>
      </c>
      <c r="B434" s="5" t="s">
        <v>45</v>
      </c>
      <c r="C434" s="5" t="s">
        <v>41</v>
      </c>
      <c r="D434" s="5" t="s">
        <v>31</v>
      </c>
      <c r="E434" s="6">
        <v>6.1</v>
      </c>
      <c r="F434" s="6">
        <v>3.32</v>
      </c>
    </row>
    <row r="435" spans="1:6" x14ac:dyDescent="0.3">
      <c r="A435" s="5" t="s">
        <v>51</v>
      </c>
      <c r="B435" s="5" t="s">
        <v>45</v>
      </c>
      <c r="C435" s="5" t="s">
        <v>41</v>
      </c>
      <c r="D435" s="5" t="s">
        <v>32</v>
      </c>
      <c r="E435" s="6">
        <v>6.73</v>
      </c>
      <c r="F435" s="6">
        <v>5.12</v>
      </c>
    </row>
    <row r="436" spans="1:6" x14ac:dyDescent="0.3">
      <c r="A436" s="5" t="s">
        <v>51</v>
      </c>
      <c r="B436" s="5" t="s">
        <v>45</v>
      </c>
      <c r="C436" s="5" t="s">
        <v>41</v>
      </c>
      <c r="D436" s="5" t="s">
        <v>33</v>
      </c>
      <c r="E436" s="6">
        <v>6.88</v>
      </c>
      <c r="F436" s="6">
        <v>6.57</v>
      </c>
    </row>
    <row r="437" spans="1:6" x14ac:dyDescent="0.3">
      <c r="A437" s="5" t="s">
        <v>51</v>
      </c>
      <c r="B437" s="5" t="s">
        <v>45</v>
      </c>
      <c r="C437" s="5" t="s">
        <v>41</v>
      </c>
      <c r="D437" s="5" t="s">
        <v>34</v>
      </c>
      <c r="E437" s="6">
        <v>6.67</v>
      </c>
      <c r="F437" s="6">
        <v>6.19</v>
      </c>
    </row>
    <row r="438" spans="1:6" x14ac:dyDescent="0.3">
      <c r="A438" s="5" t="s">
        <v>51</v>
      </c>
      <c r="B438" s="5" t="s">
        <v>45</v>
      </c>
      <c r="C438" s="5" t="s">
        <v>41</v>
      </c>
      <c r="D438" s="5" t="s">
        <v>35</v>
      </c>
      <c r="E438" s="6">
        <v>4.34</v>
      </c>
      <c r="F438" s="6">
        <v>4.68</v>
      </c>
    </row>
    <row r="439" spans="1:6" x14ac:dyDescent="0.3">
      <c r="A439" s="5" t="s">
        <v>51</v>
      </c>
      <c r="B439" s="5" t="s">
        <v>45</v>
      </c>
      <c r="C439" s="5" t="s">
        <v>41</v>
      </c>
      <c r="D439" s="5" t="s">
        <v>36</v>
      </c>
      <c r="E439" s="6">
        <v>4.04</v>
      </c>
      <c r="F439" s="6">
        <v>2.46</v>
      </c>
    </row>
    <row r="440" spans="1:6" x14ac:dyDescent="0.3">
      <c r="A440" s="5" t="s">
        <v>51</v>
      </c>
      <c r="B440" s="5" t="s">
        <v>45</v>
      </c>
      <c r="C440" s="5" t="s">
        <v>41</v>
      </c>
      <c r="D440" s="5" t="s">
        <v>37</v>
      </c>
      <c r="E440" s="6">
        <v>4.4400000000000004</v>
      </c>
      <c r="F440" s="6">
        <v>5.65</v>
      </c>
    </row>
    <row r="441" spans="1:6" x14ac:dyDescent="0.3">
      <c r="A441" s="5" t="s">
        <v>51</v>
      </c>
      <c r="B441" s="5" t="s">
        <v>45</v>
      </c>
      <c r="C441" s="5" t="s">
        <v>41</v>
      </c>
      <c r="D441" s="5" t="s">
        <v>38</v>
      </c>
      <c r="E441" s="6">
        <v>3.66</v>
      </c>
      <c r="F441" s="6">
        <v>4.09</v>
      </c>
    </row>
    <row r="442" spans="1:6" x14ac:dyDescent="0.3">
      <c r="A442" s="5" t="s">
        <v>51</v>
      </c>
      <c r="B442" s="5" t="s">
        <v>46</v>
      </c>
      <c r="C442" s="5" t="s">
        <v>41</v>
      </c>
      <c r="D442" s="5" t="s">
        <v>29</v>
      </c>
      <c r="E442" s="6">
        <v>0.93</v>
      </c>
      <c r="F442" s="6">
        <v>1.1100000000000001</v>
      </c>
    </row>
    <row r="443" spans="1:6" x14ac:dyDescent="0.3">
      <c r="A443" s="5" t="s">
        <v>51</v>
      </c>
      <c r="B443" s="5" t="s">
        <v>46</v>
      </c>
      <c r="C443" s="5" t="s">
        <v>41</v>
      </c>
      <c r="D443" s="5" t="s">
        <v>30</v>
      </c>
      <c r="E443" s="6">
        <v>0.93</v>
      </c>
      <c r="F443" s="6">
        <v>1.06</v>
      </c>
    </row>
    <row r="444" spans="1:6" x14ac:dyDescent="0.3">
      <c r="A444" s="5" t="s">
        <v>51</v>
      </c>
      <c r="B444" s="5" t="s">
        <v>46</v>
      </c>
      <c r="C444" s="5" t="s">
        <v>41</v>
      </c>
      <c r="D444" s="5" t="s">
        <v>31</v>
      </c>
      <c r="E444" s="6">
        <v>0.8</v>
      </c>
      <c r="F444" s="6">
        <v>0.93</v>
      </c>
    </row>
    <row r="445" spans="1:6" x14ac:dyDescent="0.3">
      <c r="A445" s="5" t="s">
        <v>51</v>
      </c>
      <c r="B445" s="5" t="s">
        <v>46</v>
      </c>
      <c r="C445" s="5" t="s">
        <v>41</v>
      </c>
      <c r="D445" s="5" t="s">
        <v>32</v>
      </c>
      <c r="E445" s="6">
        <v>0.82</v>
      </c>
      <c r="F445" s="6">
        <v>0.87</v>
      </c>
    </row>
    <row r="446" spans="1:6" x14ac:dyDescent="0.3">
      <c r="A446" s="5" t="s">
        <v>51</v>
      </c>
      <c r="B446" s="5" t="s">
        <v>46</v>
      </c>
      <c r="C446" s="5" t="s">
        <v>41</v>
      </c>
      <c r="D446" s="5" t="s">
        <v>33</v>
      </c>
      <c r="E446" s="6">
        <v>0.82</v>
      </c>
      <c r="F446" s="6">
        <v>0.94</v>
      </c>
    </row>
    <row r="447" spans="1:6" x14ac:dyDescent="0.3">
      <c r="A447" s="5" t="s">
        <v>51</v>
      </c>
      <c r="B447" s="5" t="s">
        <v>46</v>
      </c>
      <c r="C447" s="5" t="s">
        <v>41</v>
      </c>
      <c r="D447" s="5" t="s">
        <v>34</v>
      </c>
      <c r="E447" s="6">
        <v>0.81</v>
      </c>
      <c r="F447" s="6">
        <v>1.03</v>
      </c>
    </row>
    <row r="448" spans="1:6" x14ac:dyDescent="0.3">
      <c r="A448" s="5" t="s">
        <v>51</v>
      </c>
      <c r="B448" s="5" t="s">
        <v>46</v>
      </c>
      <c r="C448" s="5" t="s">
        <v>41</v>
      </c>
      <c r="D448" s="5" t="s">
        <v>35</v>
      </c>
      <c r="E448" s="6">
        <v>0.69</v>
      </c>
      <c r="F448" s="6">
        <v>0.91</v>
      </c>
    </row>
    <row r="449" spans="1:6" x14ac:dyDescent="0.3">
      <c r="A449" s="5" t="s">
        <v>51</v>
      </c>
      <c r="B449" s="5" t="s">
        <v>46</v>
      </c>
      <c r="C449" s="5" t="s">
        <v>41</v>
      </c>
      <c r="D449" s="5" t="s">
        <v>36</v>
      </c>
      <c r="E449" s="6">
        <v>0.69</v>
      </c>
      <c r="F449" s="6">
        <v>1.1299999999999999</v>
      </c>
    </row>
    <row r="450" spans="1:6" x14ac:dyDescent="0.3">
      <c r="A450" s="5" t="s">
        <v>51</v>
      </c>
      <c r="B450" s="5" t="s">
        <v>46</v>
      </c>
      <c r="C450" s="5" t="s">
        <v>41</v>
      </c>
      <c r="D450" s="5" t="s">
        <v>37</v>
      </c>
      <c r="E450" s="6">
        <v>0.69</v>
      </c>
      <c r="F450" s="6">
        <v>0.96</v>
      </c>
    </row>
    <row r="451" spans="1:6" x14ac:dyDescent="0.3">
      <c r="A451" s="5" t="s">
        <v>51</v>
      </c>
      <c r="B451" s="5" t="s">
        <v>46</v>
      </c>
      <c r="C451" s="5" t="s">
        <v>41</v>
      </c>
      <c r="D451" s="5" t="s">
        <v>38</v>
      </c>
      <c r="E451" s="6">
        <v>0.6</v>
      </c>
      <c r="F451" s="6">
        <v>0.82</v>
      </c>
    </row>
    <row r="452" spans="1:6" x14ac:dyDescent="0.3">
      <c r="A452" s="5" t="s">
        <v>51</v>
      </c>
      <c r="B452" s="5" t="s">
        <v>47</v>
      </c>
      <c r="C452" s="5" t="s">
        <v>41</v>
      </c>
      <c r="D452" s="5" t="s">
        <v>29</v>
      </c>
      <c r="E452" s="6">
        <v>6.33</v>
      </c>
      <c r="F452" s="6">
        <v>522.62</v>
      </c>
    </row>
    <row r="453" spans="1:6" x14ac:dyDescent="0.3">
      <c r="A453" s="5" t="s">
        <v>51</v>
      </c>
      <c r="B453" s="5" t="s">
        <v>47</v>
      </c>
      <c r="C453" s="5" t="s">
        <v>41</v>
      </c>
      <c r="D453" s="5" t="s">
        <v>30</v>
      </c>
      <c r="E453" s="6">
        <v>9.02</v>
      </c>
      <c r="F453" s="6">
        <v>829.84</v>
      </c>
    </row>
    <row r="454" spans="1:6" x14ac:dyDescent="0.3">
      <c r="A454" s="5" t="s">
        <v>51</v>
      </c>
      <c r="B454" s="5" t="s">
        <v>47</v>
      </c>
      <c r="C454" s="5" t="s">
        <v>41</v>
      </c>
      <c r="D454" s="5" t="s">
        <v>31</v>
      </c>
      <c r="E454" s="6">
        <v>11.63</v>
      </c>
      <c r="F454" s="6">
        <v>897.68</v>
      </c>
    </row>
    <row r="455" spans="1:6" x14ac:dyDescent="0.3">
      <c r="A455" s="5" t="s">
        <v>51</v>
      </c>
      <c r="B455" s="5" t="s">
        <v>47</v>
      </c>
      <c r="C455" s="5" t="s">
        <v>41</v>
      </c>
      <c r="D455" s="5" t="s">
        <v>32</v>
      </c>
      <c r="E455" s="6">
        <v>8.2200000000000006</v>
      </c>
      <c r="F455" s="6">
        <v>693.12</v>
      </c>
    </row>
    <row r="456" spans="1:6" x14ac:dyDescent="0.3">
      <c r="A456" s="5" t="s">
        <v>51</v>
      </c>
      <c r="B456" s="5" t="s">
        <v>47</v>
      </c>
      <c r="C456" s="5" t="s">
        <v>41</v>
      </c>
      <c r="D456" s="5" t="s">
        <v>33</v>
      </c>
      <c r="E456" s="6">
        <v>11.43</v>
      </c>
      <c r="F456" s="6">
        <v>1051.3800000000001</v>
      </c>
    </row>
    <row r="457" spans="1:6" x14ac:dyDescent="0.3">
      <c r="A457" s="5" t="s">
        <v>51</v>
      </c>
      <c r="B457" s="5" t="s">
        <v>47</v>
      </c>
      <c r="C457" s="5" t="s">
        <v>41</v>
      </c>
      <c r="D457" s="5" t="s">
        <v>34</v>
      </c>
      <c r="E457" s="6">
        <v>12.62</v>
      </c>
      <c r="F457" s="6">
        <v>1160.76</v>
      </c>
    </row>
    <row r="458" spans="1:6" x14ac:dyDescent="0.3">
      <c r="A458" s="5" t="s">
        <v>51</v>
      </c>
      <c r="B458" s="5" t="s">
        <v>47</v>
      </c>
      <c r="C458" s="5" t="s">
        <v>41</v>
      </c>
      <c r="D458" s="5" t="s">
        <v>35</v>
      </c>
      <c r="E458" s="6">
        <v>13.59</v>
      </c>
      <c r="F458" s="6">
        <v>1239.68</v>
      </c>
    </row>
    <row r="459" spans="1:6" x14ac:dyDescent="0.3">
      <c r="A459" s="5" t="s">
        <v>51</v>
      </c>
      <c r="B459" s="5" t="s">
        <v>47</v>
      </c>
      <c r="C459" s="5" t="s">
        <v>41</v>
      </c>
      <c r="D459" s="5" t="s">
        <v>36</v>
      </c>
      <c r="E459" s="6">
        <v>14.37</v>
      </c>
      <c r="F459" s="6">
        <v>1120.8800000000001</v>
      </c>
    </row>
    <row r="460" spans="1:6" x14ac:dyDescent="0.3">
      <c r="A460" s="5" t="s">
        <v>51</v>
      </c>
      <c r="B460" s="5" t="s">
        <v>47</v>
      </c>
      <c r="C460" s="5" t="s">
        <v>41</v>
      </c>
      <c r="D460" s="5" t="s">
        <v>37</v>
      </c>
      <c r="E460" s="6">
        <v>11.67</v>
      </c>
      <c r="F460" s="6">
        <v>1099.7</v>
      </c>
    </row>
    <row r="461" spans="1:6" x14ac:dyDescent="0.3">
      <c r="A461" s="5" t="s">
        <v>51</v>
      </c>
      <c r="B461" s="5" t="s">
        <v>47</v>
      </c>
      <c r="C461" s="5" t="s">
        <v>41</v>
      </c>
      <c r="D461" s="5" t="s">
        <v>38</v>
      </c>
      <c r="E461" s="6">
        <v>13.72</v>
      </c>
      <c r="F461" s="6">
        <v>1316.49</v>
      </c>
    </row>
    <row r="462" spans="1:6" x14ac:dyDescent="0.3">
      <c r="A462" s="5" t="s">
        <v>52</v>
      </c>
      <c r="B462" s="5" t="s">
        <v>27</v>
      </c>
      <c r="C462" s="5" t="s">
        <v>28</v>
      </c>
      <c r="D462" s="5" t="s">
        <v>29</v>
      </c>
      <c r="E462" s="6">
        <v>1.1599999999999999</v>
      </c>
      <c r="F462" s="6">
        <v>4.45</v>
      </c>
    </row>
    <row r="463" spans="1:6" x14ac:dyDescent="0.3">
      <c r="A463" s="5" t="s">
        <v>52</v>
      </c>
      <c r="B463" s="5" t="s">
        <v>27</v>
      </c>
      <c r="C463" s="5" t="s">
        <v>28</v>
      </c>
      <c r="D463" s="5" t="s">
        <v>30</v>
      </c>
      <c r="E463" s="6">
        <v>1.1399999999999999</v>
      </c>
      <c r="F463" s="6">
        <v>4.2300000000000004</v>
      </c>
    </row>
    <row r="464" spans="1:6" x14ac:dyDescent="0.3">
      <c r="A464" s="5" t="s">
        <v>52</v>
      </c>
      <c r="B464" s="5" t="s">
        <v>27</v>
      </c>
      <c r="C464" s="5" t="s">
        <v>28</v>
      </c>
      <c r="D464" s="5" t="s">
        <v>31</v>
      </c>
      <c r="E464" s="6">
        <v>1.0900000000000001</v>
      </c>
      <c r="F464" s="6">
        <v>3.95</v>
      </c>
    </row>
    <row r="465" spans="1:6" x14ac:dyDescent="0.3">
      <c r="A465" s="5" t="s">
        <v>52</v>
      </c>
      <c r="B465" s="5" t="s">
        <v>27</v>
      </c>
      <c r="C465" s="5" t="s">
        <v>28</v>
      </c>
      <c r="D465" s="5" t="s">
        <v>32</v>
      </c>
      <c r="E465" s="6">
        <v>1.1499999999999999</v>
      </c>
      <c r="F465" s="6">
        <v>4.0999999999999996</v>
      </c>
    </row>
    <row r="466" spans="1:6" x14ac:dyDescent="0.3">
      <c r="A466" s="5" t="s">
        <v>52</v>
      </c>
      <c r="B466" s="5" t="s">
        <v>27</v>
      </c>
      <c r="C466" s="5" t="s">
        <v>28</v>
      </c>
      <c r="D466" s="5" t="s">
        <v>33</v>
      </c>
      <c r="E466" s="6">
        <v>1.08</v>
      </c>
      <c r="F466" s="6">
        <v>3.95</v>
      </c>
    </row>
    <row r="467" spans="1:6" x14ac:dyDescent="0.3">
      <c r="A467" s="5" t="s">
        <v>52</v>
      </c>
      <c r="B467" s="5" t="s">
        <v>27</v>
      </c>
      <c r="C467" s="5" t="s">
        <v>28</v>
      </c>
      <c r="D467" s="5" t="s">
        <v>34</v>
      </c>
      <c r="E467" s="6">
        <v>1.05</v>
      </c>
      <c r="F467" s="6">
        <v>4.13</v>
      </c>
    </row>
    <row r="468" spans="1:6" x14ac:dyDescent="0.3">
      <c r="A468" s="5" t="s">
        <v>52</v>
      </c>
      <c r="B468" s="5" t="s">
        <v>27</v>
      </c>
      <c r="C468" s="5" t="s">
        <v>28</v>
      </c>
      <c r="D468" s="5" t="s">
        <v>35</v>
      </c>
      <c r="E468" s="6">
        <v>0.93</v>
      </c>
      <c r="F468" s="6">
        <v>4.0999999999999996</v>
      </c>
    </row>
    <row r="469" spans="1:6" x14ac:dyDescent="0.3">
      <c r="A469" s="5" t="s">
        <v>52</v>
      </c>
      <c r="B469" s="5" t="s">
        <v>27</v>
      </c>
      <c r="C469" s="5" t="s">
        <v>28</v>
      </c>
      <c r="D469" s="5" t="s">
        <v>36</v>
      </c>
      <c r="E469" s="6">
        <v>0.95</v>
      </c>
      <c r="F469" s="6">
        <v>3.62</v>
      </c>
    </row>
    <row r="470" spans="1:6" x14ac:dyDescent="0.3">
      <c r="A470" s="5" t="s">
        <v>52</v>
      </c>
      <c r="B470" s="5" t="s">
        <v>27</v>
      </c>
      <c r="C470" s="5" t="s">
        <v>28</v>
      </c>
      <c r="D470" s="5" t="s">
        <v>37</v>
      </c>
      <c r="E470" s="6">
        <v>0.86</v>
      </c>
      <c r="F470" s="6">
        <v>3.7</v>
      </c>
    </row>
    <row r="471" spans="1:6" x14ac:dyDescent="0.3">
      <c r="A471" s="5" t="s">
        <v>52</v>
      </c>
      <c r="B471" s="5" t="s">
        <v>27</v>
      </c>
      <c r="C471" s="5" t="s">
        <v>28</v>
      </c>
      <c r="D471" s="5" t="s">
        <v>38</v>
      </c>
      <c r="E471" s="6">
        <v>0.88</v>
      </c>
      <c r="F471" s="6">
        <v>3.85</v>
      </c>
    </row>
    <row r="472" spans="1:6" x14ac:dyDescent="0.3">
      <c r="A472" s="5" t="s">
        <v>52</v>
      </c>
      <c r="B472" s="5" t="s">
        <v>27</v>
      </c>
      <c r="C472" s="5" t="s">
        <v>41</v>
      </c>
      <c r="D472" s="5" t="s">
        <v>29</v>
      </c>
      <c r="E472" s="6">
        <v>1.1599999999999999</v>
      </c>
      <c r="F472" s="6">
        <v>4.45</v>
      </c>
    </row>
    <row r="473" spans="1:6" x14ac:dyDescent="0.3">
      <c r="A473" s="5" t="s">
        <v>52</v>
      </c>
      <c r="B473" s="5" t="s">
        <v>27</v>
      </c>
      <c r="C473" s="5" t="s">
        <v>41</v>
      </c>
      <c r="D473" s="5" t="s">
        <v>30</v>
      </c>
      <c r="E473" s="6">
        <v>1.1399999999999999</v>
      </c>
      <c r="F473" s="6">
        <v>4.2300000000000004</v>
      </c>
    </row>
    <row r="474" spans="1:6" x14ac:dyDescent="0.3">
      <c r="A474" s="5" t="s">
        <v>52</v>
      </c>
      <c r="B474" s="5" t="s">
        <v>27</v>
      </c>
      <c r="C474" s="5" t="s">
        <v>41</v>
      </c>
      <c r="D474" s="5" t="s">
        <v>31</v>
      </c>
      <c r="E474" s="6">
        <v>1.0900000000000001</v>
      </c>
      <c r="F474" s="6">
        <v>3.95</v>
      </c>
    </row>
    <row r="475" spans="1:6" x14ac:dyDescent="0.3">
      <c r="A475" s="5" t="s">
        <v>52</v>
      </c>
      <c r="B475" s="5" t="s">
        <v>27</v>
      </c>
      <c r="C475" s="5" t="s">
        <v>41</v>
      </c>
      <c r="D475" s="5" t="s">
        <v>32</v>
      </c>
      <c r="E475" s="6">
        <v>1.1499999999999999</v>
      </c>
      <c r="F475" s="6">
        <v>4.0999999999999996</v>
      </c>
    </row>
    <row r="476" spans="1:6" x14ac:dyDescent="0.3">
      <c r="A476" s="5" t="s">
        <v>52</v>
      </c>
      <c r="B476" s="5" t="s">
        <v>27</v>
      </c>
      <c r="C476" s="5" t="s">
        <v>41</v>
      </c>
      <c r="D476" s="5" t="s">
        <v>33</v>
      </c>
      <c r="E476" s="6">
        <v>1.08</v>
      </c>
      <c r="F476" s="6">
        <v>3.95</v>
      </c>
    </row>
    <row r="477" spans="1:6" x14ac:dyDescent="0.3">
      <c r="A477" s="5" t="s">
        <v>52</v>
      </c>
      <c r="B477" s="5" t="s">
        <v>27</v>
      </c>
      <c r="C477" s="5" t="s">
        <v>41</v>
      </c>
      <c r="D477" s="5" t="s">
        <v>34</v>
      </c>
      <c r="E477" s="6">
        <v>1.05</v>
      </c>
      <c r="F477" s="6">
        <v>4.13</v>
      </c>
    </row>
    <row r="478" spans="1:6" x14ac:dyDescent="0.3">
      <c r="A478" s="5" t="s">
        <v>52</v>
      </c>
      <c r="B478" s="5" t="s">
        <v>27</v>
      </c>
      <c r="C478" s="5" t="s">
        <v>41</v>
      </c>
      <c r="D478" s="5" t="s">
        <v>35</v>
      </c>
      <c r="E478" s="6">
        <v>0.93</v>
      </c>
      <c r="F478" s="6">
        <v>4.0999999999999996</v>
      </c>
    </row>
    <row r="479" spans="1:6" x14ac:dyDescent="0.3">
      <c r="A479" s="5" t="s">
        <v>52</v>
      </c>
      <c r="B479" s="5" t="s">
        <v>27</v>
      </c>
      <c r="C479" s="5" t="s">
        <v>41</v>
      </c>
      <c r="D479" s="5" t="s">
        <v>36</v>
      </c>
      <c r="E479" s="6">
        <v>0.95</v>
      </c>
      <c r="F479" s="6">
        <v>3.62</v>
      </c>
    </row>
    <row r="480" spans="1:6" x14ac:dyDescent="0.3">
      <c r="A480" s="5" t="s">
        <v>52</v>
      </c>
      <c r="B480" s="5" t="s">
        <v>27</v>
      </c>
      <c r="C480" s="5" t="s">
        <v>41</v>
      </c>
      <c r="D480" s="5" t="s">
        <v>37</v>
      </c>
      <c r="E480" s="6">
        <v>0.86</v>
      </c>
      <c r="F480" s="6">
        <v>3.7</v>
      </c>
    </row>
    <row r="481" spans="1:6" x14ac:dyDescent="0.3">
      <c r="A481" s="5" t="s">
        <v>52</v>
      </c>
      <c r="B481" s="5" t="s">
        <v>27</v>
      </c>
      <c r="C481" s="5" t="s">
        <v>41</v>
      </c>
      <c r="D481" s="5" t="s">
        <v>38</v>
      </c>
      <c r="E481" s="6">
        <v>0.88</v>
      </c>
      <c r="F481" s="6">
        <v>3.85</v>
      </c>
    </row>
    <row r="482" spans="1:6" x14ac:dyDescent="0.3">
      <c r="A482" s="5" t="s">
        <v>52</v>
      </c>
      <c r="B482" s="5" t="s">
        <v>42</v>
      </c>
      <c r="C482" s="5" t="s">
        <v>41</v>
      </c>
      <c r="D482" s="5" t="s">
        <v>29</v>
      </c>
      <c r="E482" s="6">
        <v>28.98</v>
      </c>
      <c r="F482" s="6">
        <v>115.86</v>
      </c>
    </row>
    <row r="483" spans="1:6" x14ac:dyDescent="0.3">
      <c r="A483" s="5" t="s">
        <v>52</v>
      </c>
      <c r="B483" s="5" t="s">
        <v>42</v>
      </c>
      <c r="C483" s="5" t="s">
        <v>41</v>
      </c>
      <c r="D483" s="5" t="s">
        <v>30</v>
      </c>
      <c r="E483" s="6">
        <v>30.65</v>
      </c>
      <c r="F483" s="6">
        <v>133.82</v>
      </c>
    </row>
    <row r="484" spans="1:6" x14ac:dyDescent="0.3">
      <c r="A484" s="5" t="s">
        <v>52</v>
      </c>
      <c r="B484" s="5" t="s">
        <v>42</v>
      </c>
      <c r="C484" s="5" t="s">
        <v>41</v>
      </c>
      <c r="D484" s="5" t="s">
        <v>31</v>
      </c>
      <c r="E484" s="6">
        <v>31.03</v>
      </c>
      <c r="F484" s="6">
        <v>128.22</v>
      </c>
    </row>
    <row r="485" spans="1:6" x14ac:dyDescent="0.3">
      <c r="A485" s="5" t="s">
        <v>52</v>
      </c>
      <c r="B485" s="5" t="s">
        <v>42</v>
      </c>
      <c r="C485" s="5" t="s">
        <v>41</v>
      </c>
      <c r="D485" s="5" t="s">
        <v>32</v>
      </c>
      <c r="E485" s="6">
        <v>29.2</v>
      </c>
      <c r="F485" s="6">
        <v>117.79</v>
      </c>
    </row>
    <row r="486" spans="1:6" x14ac:dyDescent="0.3">
      <c r="A486" s="5" t="s">
        <v>52</v>
      </c>
      <c r="B486" s="5" t="s">
        <v>42</v>
      </c>
      <c r="C486" s="5" t="s">
        <v>41</v>
      </c>
      <c r="D486" s="5" t="s">
        <v>33</v>
      </c>
      <c r="E486" s="6">
        <v>29.28</v>
      </c>
      <c r="F486" s="6">
        <v>127.84</v>
      </c>
    </row>
    <row r="487" spans="1:6" x14ac:dyDescent="0.3">
      <c r="A487" s="5" t="s">
        <v>52</v>
      </c>
      <c r="B487" s="5" t="s">
        <v>42</v>
      </c>
      <c r="C487" s="5" t="s">
        <v>41</v>
      </c>
      <c r="D487" s="5" t="s">
        <v>34</v>
      </c>
      <c r="E487" s="6">
        <v>29.69</v>
      </c>
      <c r="F487" s="6">
        <v>128.85</v>
      </c>
    </row>
    <row r="488" spans="1:6" x14ac:dyDescent="0.3">
      <c r="A488" s="5" t="s">
        <v>52</v>
      </c>
      <c r="B488" s="5" t="s">
        <v>42</v>
      </c>
      <c r="C488" s="5" t="s">
        <v>41</v>
      </c>
      <c r="D488" s="5" t="s">
        <v>35</v>
      </c>
      <c r="E488" s="6">
        <v>30.98</v>
      </c>
      <c r="F488" s="6">
        <v>129.91</v>
      </c>
    </row>
    <row r="489" spans="1:6" x14ac:dyDescent="0.3">
      <c r="A489" s="5" t="s">
        <v>52</v>
      </c>
      <c r="B489" s="5" t="s">
        <v>42</v>
      </c>
      <c r="C489" s="5" t="s">
        <v>41</v>
      </c>
      <c r="D489" s="5" t="s">
        <v>36</v>
      </c>
      <c r="E489" s="6">
        <v>31.79</v>
      </c>
      <c r="F489" s="6">
        <v>143.56</v>
      </c>
    </row>
    <row r="490" spans="1:6" x14ac:dyDescent="0.3">
      <c r="A490" s="5" t="s">
        <v>52</v>
      </c>
      <c r="B490" s="5" t="s">
        <v>42</v>
      </c>
      <c r="C490" s="5" t="s">
        <v>41</v>
      </c>
      <c r="D490" s="5" t="s">
        <v>37</v>
      </c>
      <c r="E490" s="6">
        <v>32.43</v>
      </c>
      <c r="F490" s="6">
        <v>143.61000000000001</v>
      </c>
    </row>
    <row r="491" spans="1:6" x14ac:dyDescent="0.3">
      <c r="A491" s="5" t="s">
        <v>52</v>
      </c>
      <c r="B491" s="5" t="s">
        <v>42</v>
      </c>
      <c r="C491" s="5" t="s">
        <v>41</v>
      </c>
      <c r="D491" s="5" t="s">
        <v>38</v>
      </c>
      <c r="E491" s="6">
        <v>32.68</v>
      </c>
      <c r="F491" s="6">
        <v>125.33</v>
      </c>
    </row>
    <row r="492" spans="1:6" x14ac:dyDescent="0.3">
      <c r="A492" s="5" t="s">
        <v>52</v>
      </c>
      <c r="B492" s="5" t="s">
        <v>43</v>
      </c>
      <c r="C492" s="5" t="s">
        <v>41</v>
      </c>
      <c r="D492" s="5" t="s">
        <v>29</v>
      </c>
      <c r="E492" s="6">
        <v>34.950000000000003</v>
      </c>
      <c r="F492" s="6">
        <v>164.4</v>
      </c>
    </row>
    <row r="493" spans="1:6" x14ac:dyDescent="0.3">
      <c r="A493" s="5" t="s">
        <v>52</v>
      </c>
      <c r="B493" s="5" t="s">
        <v>43</v>
      </c>
      <c r="C493" s="5" t="s">
        <v>41</v>
      </c>
      <c r="D493" s="5" t="s">
        <v>30</v>
      </c>
      <c r="E493" s="6">
        <v>35.119999999999997</v>
      </c>
      <c r="F493" s="6">
        <v>178.3</v>
      </c>
    </row>
    <row r="494" spans="1:6" x14ac:dyDescent="0.3">
      <c r="A494" s="5" t="s">
        <v>52</v>
      </c>
      <c r="B494" s="5" t="s">
        <v>43</v>
      </c>
      <c r="C494" s="5" t="s">
        <v>41</v>
      </c>
      <c r="D494" s="5" t="s">
        <v>31</v>
      </c>
      <c r="E494" s="6">
        <v>35.200000000000003</v>
      </c>
      <c r="F494" s="6">
        <v>182.62</v>
      </c>
    </row>
    <row r="495" spans="1:6" x14ac:dyDescent="0.3">
      <c r="A495" s="5" t="s">
        <v>52</v>
      </c>
      <c r="B495" s="5" t="s">
        <v>43</v>
      </c>
      <c r="C495" s="5" t="s">
        <v>41</v>
      </c>
      <c r="D495" s="5" t="s">
        <v>32</v>
      </c>
      <c r="E495" s="6">
        <v>35.21</v>
      </c>
      <c r="F495" s="6">
        <v>176.16</v>
      </c>
    </row>
    <row r="496" spans="1:6" x14ac:dyDescent="0.3">
      <c r="A496" s="5" t="s">
        <v>52</v>
      </c>
      <c r="B496" s="5" t="s">
        <v>43</v>
      </c>
      <c r="C496" s="5" t="s">
        <v>41</v>
      </c>
      <c r="D496" s="5" t="s">
        <v>33</v>
      </c>
      <c r="E496" s="6">
        <v>35.299999999999997</v>
      </c>
      <c r="F496" s="6">
        <v>171.86</v>
      </c>
    </row>
    <row r="497" spans="1:6" x14ac:dyDescent="0.3">
      <c r="A497" s="5" t="s">
        <v>52</v>
      </c>
      <c r="B497" s="5" t="s">
        <v>43</v>
      </c>
      <c r="C497" s="5" t="s">
        <v>41</v>
      </c>
      <c r="D497" s="5" t="s">
        <v>34</v>
      </c>
      <c r="E497" s="6">
        <v>35.25</v>
      </c>
      <c r="F497" s="6">
        <v>148.61000000000001</v>
      </c>
    </row>
    <row r="498" spans="1:6" x14ac:dyDescent="0.3">
      <c r="A498" s="5" t="s">
        <v>52</v>
      </c>
      <c r="B498" s="5" t="s">
        <v>43</v>
      </c>
      <c r="C498" s="5" t="s">
        <v>41</v>
      </c>
      <c r="D498" s="5" t="s">
        <v>35</v>
      </c>
      <c r="E498" s="6">
        <v>35.35</v>
      </c>
      <c r="F498" s="6">
        <v>167.83</v>
      </c>
    </row>
    <row r="499" spans="1:6" x14ac:dyDescent="0.3">
      <c r="A499" s="5" t="s">
        <v>52</v>
      </c>
      <c r="B499" s="5" t="s">
        <v>43</v>
      </c>
      <c r="C499" s="5" t="s">
        <v>41</v>
      </c>
      <c r="D499" s="5" t="s">
        <v>36</v>
      </c>
      <c r="E499" s="6">
        <v>35.159999999999997</v>
      </c>
      <c r="F499" s="6">
        <v>177.37</v>
      </c>
    </row>
    <row r="500" spans="1:6" x14ac:dyDescent="0.3">
      <c r="A500" s="5" t="s">
        <v>52</v>
      </c>
      <c r="B500" s="5" t="s">
        <v>43</v>
      </c>
      <c r="C500" s="5" t="s">
        <v>41</v>
      </c>
      <c r="D500" s="5" t="s">
        <v>37</v>
      </c>
      <c r="E500" s="6">
        <v>35.119999999999997</v>
      </c>
      <c r="F500" s="6">
        <v>179.93</v>
      </c>
    </row>
    <row r="501" spans="1:6" x14ac:dyDescent="0.3">
      <c r="A501" s="5" t="s">
        <v>52</v>
      </c>
      <c r="B501" s="5" t="s">
        <v>43</v>
      </c>
      <c r="C501" s="5" t="s">
        <v>41</v>
      </c>
      <c r="D501" s="5" t="s">
        <v>38</v>
      </c>
      <c r="E501" s="6">
        <v>34.590000000000003</v>
      </c>
      <c r="F501" s="6">
        <v>170.79</v>
      </c>
    </row>
    <row r="502" spans="1:6" x14ac:dyDescent="0.3">
      <c r="A502" s="5" t="s">
        <v>52</v>
      </c>
      <c r="B502" s="5" t="s">
        <v>47</v>
      </c>
      <c r="C502" s="5" t="s">
        <v>41</v>
      </c>
      <c r="D502" s="5" t="s">
        <v>29</v>
      </c>
      <c r="E502" s="6">
        <v>0.88</v>
      </c>
      <c r="F502" s="6">
        <v>71.52</v>
      </c>
    </row>
    <row r="503" spans="1:6" x14ac:dyDescent="0.3">
      <c r="A503" s="5" t="s">
        <v>52</v>
      </c>
      <c r="B503" s="5" t="s">
        <v>47</v>
      </c>
      <c r="C503" s="5" t="s">
        <v>41</v>
      </c>
      <c r="D503" s="5" t="s">
        <v>30</v>
      </c>
      <c r="E503" s="6">
        <v>0.96</v>
      </c>
      <c r="F503" s="6">
        <v>80.239999999999995</v>
      </c>
    </row>
    <row r="504" spans="1:6" x14ac:dyDescent="0.3">
      <c r="A504" s="5" t="s">
        <v>52</v>
      </c>
      <c r="B504" s="5" t="s">
        <v>47</v>
      </c>
      <c r="C504" s="5" t="s">
        <v>41</v>
      </c>
      <c r="D504" s="5" t="s">
        <v>31</v>
      </c>
      <c r="E504" s="6">
        <v>0.95</v>
      </c>
      <c r="F504" s="6">
        <v>77.739999999999995</v>
      </c>
    </row>
    <row r="505" spans="1:6" x14ac:dyDescent="0.3">
      <c r="A505" s="5" t="s">
        <v>52</v>
      </c>
      <c r="B505" s="5" t="s">
        <v>47</v>
      </c>
      <c r="C505" s="5" t="s">
        <v>41</v>
      </c>
      <c r="D505" s="5" t="s">
        <v>32</v>
      </c>
      <c r="E505" s="6">
        <v>0.91</v>
      </c>
      <c r="F505" s="6">
        <v>73.02</v>
      </c>
    </row>
    <row r="506" spans="1:6" x14ac:dyDescent="0.3">
      <c r="A506" s="5" t="s">
        <v>52</v>
      </c>
      <c r="B506" s="5" t="s">
        <v>47</v>
      </c>
      <c r="C506" s="5" t="s">
        <v>41</v>
      </c>
      <c r="D506" s="5" t="s">
        <v>33</v>
      </c>
      <c r="E506" s="6">
        <v>0.89</v>
      </c>
      <c r="F506" s="6">
        <v>74.87</v>
      </c>
    </row>
    <row r="507" spans="1:6" x14ac:dyDescent="0.3">
      <c r="A507" s="5" t="s">
        <v>52</v>
      </c>
      <c r="B507" s="5" t="s">
        <v>47</v>
      </c>
      <c r="C507" s="5" t="s">
        <v>41</v>
      </c>
      <c r="D507" s="5" t="s">
        <v>34</v>
      </c>
      <c r="E507" s="6">
        <v>0.87</v>
      </c>
      <c r="F507" s="6">
        <v>71.31</v>
      </c>
    </row>
    <row r="508" spans="1:6" x14ac:dyDescent="0.3">
      <c r="A508" s="5" t="s">
        <v>52</v>
      </c>
      <c r="B508" s="5" t="s">
        <v>47</v>
      </c>
      <c r="C508" s="5" t="s">
        <v>41</v>
      </c>
      <c r="D508" s="5" t="s">
        <v>35</v>
      </c>
      <c r="E508" s="6">
        <v>0.9</v>
      </c>
      <c r="F508" s="6">
        <v>75.06</v>
      </c>
    </row>
    <row r="509" spans="1:6" x14ac:dyDescent="0.3">
      <c r="A509" s="5" t="s">
        <v>52</v>
      </c>
      <c r="B509" s="5" t="s">
        <v>47</v>
      </c>
      <c r="C509" s="5" t="s">
        <v>41</v>
      </c>
      <c r="D509" s="5" t="s">
        <v>36</v>
      </c>
      <c r="E509" s="6">
        <v>0.9</v>
      </c>
      <c r="F509" s="6">
        <v>75.099999999999994</v>
      </c>
    </row>
    <row r="510" spans="1:6" x14ac:dyDescent="0.3">
      <c r="A510" s="5" t="s">
        <v>52</v>
      </c>
      <c r="B510" s="5" t="s">
        <v>47</v>
      </c>
      <c r="C510" s="5" t="s">
        <v>41</v>
      </c>
      <c r="D510" s="5" t="s">
        <v>37</v>
      </c>
      <c r="E510" s="6">
        <v>0.89</v>
      </c>
      <c r="F510" s="6">
        <v>72.790000000000006</v>
      </c>
    </row>
    <row r="511" spans="1:6" x14ac:dyDescent="0.3">
      <c r="A511" s="5" t="s">
        <v>52</v>
      </c>
      <c r="B511" s="5" t="s">
        <v>47</v>
      </c>
      <c r="C511" s="5" t="s">
        <v>41</v>
      </c>
      <c r="D511" s="5" t="s">
        <v>38</v>
      </c>
      <c r="E511" s="6">
        <v>0.88</v>
      </c>
      <c r="F511" s="6">
        <v>69.08</v>
      </c>
    </row>
    <row r="512" spans="1:6" x14ac:dyDescent="0.3">
      <c r="A512" s="5" t="s">
        <v>53</v>
      </c>
      <c r="B512" s="5" t="s">
        <v>27</v>
      </c>
      <c r="C512" s="5" t="s">
        <v>28</v>
      </c>
      <c r="D512" s="5" t="s">
        <v>29</v>
      </c>
      <c r="E512" s="6">
        <v>9.19</v>
      </c>
      <c r="F512" s="6">
        <v>13.79</v>
      </c>
    </row>
    <row r="513" spans="1:6" x14ac:dyDescent="0.3">
      <c r="A513" s="5" t="s">
        <v>53</v>
      </c>
      <c r="B513" s="5" t="s">
        <v>27</v>
      </c>
      <c r="C513" s="5" t="s">
        <v>28</v>
      </c>
      <c r="D513" s="5" t="s">
        <v>30</v>
      </c>
      <c r="E513" s="6">
        <v>8.56</v>
      </c>
      <c r="F513" s="6">
        <v>17.399999999999999</v>
      </c>
    </row>
    <row r="514" spans="1:6" x14ac:dyDescent="0.3">
      <c r="A514" s="5" t="s">
        <v>53</v>
      </c>
      <c r="B514" s="5" t="s">
        <v>27</v>
      </c>
      <c r="C514" s="5" t="s">
        <v>28</v>
      </c>
      <c r="D514" s="5" t="s">
        <v>31</v>
      </c>
      <c r="E514" s="6">
        <v>8.4499999999999993</v>
      </c>
      <c r="F514" s="6">
        <v>18.920000000000002</v>
      </c>
    </row>
    <row r="515" spans="1:6" x14ac:dyDescent="0.3">
      <c r="A515" s="5" t="s">
        <v>53</v>
      </c>
      <c r="B515" s="5" t="s">
        <v>27</v>
      </c>
      <c r="C515" s="5" t="s">
        <v>28</v>
      </c>
      <c r="D515" s="5" t="s">
        <v>32</v>
      </c>
      <c r="E515" s="6">
        <v>8.75</v>
      </c>
      <c r="F515" s="6">
        <v>11.35</v>
      </c>
    </row>
    <row r="516" spans="1:6" x14ac:dyDescent="0.3">
      <c r="A516" s="5" t="s">
        <v>53</v>
      </c>
      <c r="B516" s="5" t="s">
        <v>27</v>
      </c>
      <c r="C516" s="5" t="s">
        <v>28</v>
      </c>
      <c r="D516" s="5" t="s">
        <v>33</v>
      </c>
      <c r="E516" s="6">
        <v>9.76</v>
      </c>
      <c r="F516" s="6">
        <v>21.87</v>
      </c>
    </row>
    <row r="517" spans="1:6" x14ac:dyDescent="0.3">
      <c r="A517" s="5" t="s">
        <v>53</v>
      </c>
      <c r="B517" s="5" t="s">
        <v>27</v>
      </c>
      <c r="C517" s="5" t="s">
        <v>28</v>
      </c>
      <c r="D517" s="5" t="s">
        <v>34</v>
      </c>
      <c r="E517" s="6">
        <v>9.36</v>
      </c>
      <c r="F517" s="6">
        <v>19.55</v>
      </c>
    </row>
    <row r="518" spans="1:6" x14ac:dyDescent="0.3">
      <c r="A518" s="5" t="s">
        <v>53</v>
      </c>
      <c r="B518" s="5" t="s">
        <v>27</v>
      </c>
      <c r="C518" s="5" t="s">
        <v>28</v>
      </c>
      <c r="D518" s="5" t="s">
        <v>35</v>
      </c>
      <c r="E518" s="6">
        <v>9.41</v>
      </c>
      <c r="F518" s="6">
        <v>20.92</v>
      </c>
    </row>
    <row r="519" spans="1:6" x14ac:dyDescent="0.3">
      <c r="A519" s="5" t="s">
        <v>53</v>
      </c>
      <c r="B519" s="5" t="s">
        <v>27</v>
      </c>
      <c r="C519" s="5" t="s">
        <v>28</v>
      </c>
      <c r="D519" s="5" t="s">
        <v>36</v>
      </c>
      <c r="E519" s="6">
        <v>8.6199999999999992</v>
      </c>
      <c r="F519" s="6">
        <v>20.63</v>
      </c>
    </row>
    <row r="520" spans="1:6" x14ac:dyDescent="0.3">
      <c r="A520" s="5" t="s">
        <v>53</v>
      </c>
      <c r="B520" s="5" t="s">
        <v>27</v>
      </c>
      <c r="C520" s="5" t="s">
        <v>28</v>
      </c>
      <c r="D520" s="5" t="s">
        <v>37</v>
      </c>
      <c r="E520" s="6">
        <v>9.6999999999999993</v>
      </c>
      <c r="F520" s="6">
        <v>24.77</v>
      </c>
    </row>
    <row r="521" spans="1:6" x14ac:dyDescent="0.3">
      <c r="A521" s="5" t="s">
        <v>53</v>
      </c>
      <c r="B521" s="5" t="s">
        <v>27</v>
      </c>
      <c r="C521" s="5" t="s">
        <v>28</v>
      </c>
      <c r="D521" s="5" t="s">
        <v>38</v>
      </c>
      <c r="E521" s="6">
        <v>8.8800000000000008</v>
      </c>
      <c r="F521" s="6">
        <v>20.64</v>
      </c>
    </row>
    <row r="522" spans="1:6" x14ac:dyDescent="0.3">
      <c r="A522" s="5" t="s">
        <v>53</v>
      </c>
      <c r="B522" s="5" t="s">
        <v>27</v>
      </c>
      <c r="C522" s="5" t="s">
        <v>39</v>
      </c>
      <c r="D522" s="5" t="s">
        <v>29</v>
      </c>
      <c r="E522" s="6">
        <v>0</v>
      </c>
      <c r="F522" s="6">
        <v>0</v>
      </c>
    </row>
    <row r="523" spans="1:6" x14ac:dyDescent="0.3">
      <c r="A523" s="5" t="s">
        <v>53</v>
      </c>
      <c r="B523" s="5" t="s">
        <v>27</v>
      </c>
      <c r="C523" s="5" t="s">
        <v>39</v>
      </c>
      <c r="D523" s="5" t="s">
        <v>30</v>
      </c>
      <c r="E523" s="6">
        <v>0.14000000000000001</v>
      </c>
      <c r="F523" s="6">
        <v>0.54</v>
      </c>
    </row>
    <row r="524" spans="1:6" x14ac:dyDescent="0.3">
      <c r="A524" s="5" t="s">
        <v>53</v>
      </c>
      <c r="B524" s="5" t="s">
        <v>27</v>
      </c>
      <c r="C524" s="5" t="s">
        <v>39</v>
      </c>
      <c r="D524" s="5" t="s">
        <v>31</v>
      </c>
      <c r="E524" s="6">
        <v>0</v>
      </c>
      <c r="F524" s="6">
        <v>0</v>
      </c>
    </row>
    <row r="525" spans="1:6" x14ac:dyDescent="0.3">
      <c r="A525" s="5" t="s">
        <v>53</v>
      </c>
      <c r="B525" s="5" t="s">
        <v>27</v>
      </c>
      <c r="C525" s="5" t="s">
        <v>39</v>
      </c>
      <c r="D525" s="5" t="s">
        <v>32</v>
      </c>
      <c r="E525" s="6">
        <v>0.16</v>
      </c>
      <c r="F525" s="6">
        <v>0.72</v>
      </c>
    </row>
    <row r="526" spans="1:6" x14ac:dyDescent="0.3">
      <c r="A526" s="5" t="s">
        <v>53</v>
      </c>
      <c r="B526" s="5" t="s">
        <v>27</v>
      </c>
      <c r="C526" s="5" t="s">
        <v>39</v>
      </c>
      <c r="D526" s="5" t="s">
        <v>33</v>
      </c>
      <c r="E526" s="6">
        <v>0.17</v>
      </c>
      <c r="F526" s="6">
        <v>0.83</v>
      </c>
    </row>
    <row r="527" spans="1:6" x14ac:dyDescent="0.3">
      <c r="A527" s="5" t="s">
        <v>53</v>
      </c>
      <c r="B527" s="5" t="s">
        <v>27</v>
      </c>
      <c r="C527" s="5" t="s">
        <v>39</v>
      </c>
      <c r="D527" s="5" t="s">
        <v>34</v>
      </c>
      <c r="E527" s="6">
        <v>0.16</v>
      </c>
      <c r="F527" s="6">
        <v>0.9</v>
      </c>
    </row>
    <row r="528" spans="1:6" x14ac:dyDescent="0.3">
      <c r="A528" s="5" t="s">
        <v>53</v>
      </c>
      <c r="B528" s="5" t="s">
        <v>27</v>
      </c>
      <c r="C528" s="5" t="s">
        <v>39</v>
      </c>
      <c r="D528" s="5" t="s">
        <v>35</v>
      </c>
      <c r="E528" s="6">
        <v>0.16</v>
      </c>
      <c r="F528" s="6">
        <v>0.87</v>
      </c>
    </row>
    <row r="529" spans="1:6" x14ac:dyDescent="0.3">
      <c r="A529" s="5" t="s">
        <v>53</v>
      </c>
      <c r="B529" s="5" t="s">
        <v>27</v>
      </c>
      <c r="C529" s="5" t="s">
        <v>39</v>
      </c>
      <c r="D529" s="5" t="s">
        <v>36</v>
      </c>
      <c r="E529" s="6">
        <v>0.19</v>
      </c>
      <c r="F529" s="6">
        <v>1.07</v>
      </c>
    </row>
    <row r="530" spans="1:6" x14ac:dyDescent="0.3">
      <c r="A530" s="5" t="s">
        <v>53</v>
      </c>
      <c r="B530" s="5" t="s">
        <v>27</v>
      </c>
      <c r="C530" s="5" t="s">
        <v>39</v>
      </c>
      <c r="D530" s="5" t="s">
        <v>37</v>
      </c>
      <c r="E530" s="6">
        <v>0.37</v>
      </c>
      <c r="F530" s="6">
        <v>2</v>
      </c>
    </row>
    <row r="531" spans="1:6" x14ac:dyDescent="0.3">
      <c r="A531" s="5" t="s">
        <v>53</v>
      </c>
      <c r="B531" s="5" t="s">
        <v>27</v>
      </c>
      <c r="C531" s="5" t="s">
        <v>39</v>
      </c>
      <c r="D531" s="5" t="s">
        <v>38</v>
      </c>
      <c r="E531" s="6">
        <v>0.34</v>
      </c>
      <c r="F531" s="6">
        <v>1.81</v>
      </c>
    </row>
    <row r="532" spans="1:6" x14ac:dyDescent="0.3">
      <c r="A532" s="5" t="s">
        <v>53</v>
      </c>
      <c r="B532" s="5" t="s">
        <v>27</v>
      </c>
      <c r="C532" s="5" t="s">
        <v>41</v>
      </c>
      <c r="D532" s="5" t="s">
        <v>29</v>
      </c>
      <c r="E532" s="6">
        <v>9.19</v>
      </c>
      <c r="F532" s="6">
        <v>13.79</v>
      </c>
    </row>
    <row r="533" spans="1:6" x14ac:dyDescent="0.3">
      <c r="A533" s="5" t="s">
        <v>53</v>
      </c>
      <c r="B533" s="5" t="s">
        <v>27</v>
      </c>
      <c r="C533" s="5" t="s">
        <v>41</v>
      </c>
      <c r="D533" s="5" t="s">
        <v>30</v>
      </c>
      <c r="E533" s="6">
        <v>8.6999999999999993</v>
      </c>
      <c r="F533" s="6">
        <v>17.940000000000001</v>
      </c>
    </row>
    <row r="534" spans="1:6" x14ac:dyDescent="0.3">
      <c r="A534" s="5" t="s">
        <v>53</v>
      </c>
      <c r="B534" s="5" t="s">
        <v>27</v>
      </c>
      <c r="C534" s="5" t="s">
        <v>41</v>
      </c>
      <c r="D534" s="5" t="s">
        <v>31</v>
      </c>
      <c r="E534" s="6">
        <v>8.4499999999999993</v>
      </c>
      <c r="F534" s="6">
        <v>18.920000000000002</v>
      </c>
    </row>
    <row r="535" spans="1:6" x14ac:dyDescent="0.3">
      <c r="A535" s="5" t="s">
        <v>53</v>
      </c>
      <c r="B535" s="5" t="s">
        <v>27</v>
      </c>
      <c r="C535" s="5" t="s">
        <v>41</v>
      </c>
      <c r="D535" s="5" t="s">
        <v>32</v>
      </c>
      <c r="E535" s="6">
        <v>8.91</v>
      </c>
      <c r="F535" s="6">
        <v>12.07</v>
      </c>
    </row>
    <row r="536" spans="1:6" x14ac:dyDescent="0.3">
      <c r="A536" s="5" t="s">
        <v>53</v>
      </c>
      <c r="B536" s="5" t="s">
        <v>27</v>
      </c>
      <c r="C536" s="5" t="s">
        <v>41</v>
      </c>
      <c r="D536" s="5" t="s">
        <v>33</v>
      </c>
      <c r="E536" s="6">
        <v>9.93</v>
      </c>
      <c r="F536" s="6">
        <v>22.7</v>
      </c>
    </row>
    <row r="537" spans="1:6" x14ac:dyDescent="0.3">
      <c r="A537" s="5" t="s">
        <v>53</v>
      </c>
      <c r="B537" s="5" t="s">
        <v>27</v>
      </c>
      <c r="C537" s="5" t="s">
        <v>41</v>
      </c>
      <c r="D537" s="5" t="s">
        <v>34</v>
      </c>
      <c r="E537" s="6">
        <v>9.52</v>
      </c>
      <c r="F537" s="6">
        <v>20.45</v>
      </c>
    </row>
    <row r="538" spans="1:6" x14ac:dyDescent="0.3">
      <c r="A538" s="5" t="s">
        <v>53</v>
      </c>
      <c r="B538" s="5" t="s">
        <v>27</v>
      </c>
      <c r="C538" s="5" t="s">
        <v>41</v>
      </c>
      <c r="D538" s="5" t="s">
        <v>35</v>
      </c>
      <c r="E538" s="6">
        <v>9.57</v>
      </c>
      <c r="F538" s="6">
        <v>21.79</v>
      </c>
    </row>
    <row r="539" spans="1:6" x14ac:dyDescent="0.3">
      <c r="A539" s="5" t="s">
        <v>53</v>
      </c>
      <c r="B539" s="5" t="s">
        <v>27</v>
      </c>
      <c r="C539" s="5" t="s">
        <v>41</v>
      </c>
      <c r="D539" s="5" t="s">
        <v>36</v>
      </c>
      <c r="E539" s="6">
        <v>8.81</v>
      </c>
      <c r="F539" s="6">
        <v>21.7</v>
      </c>
    </row>
    <row r="540" spans="1:6" x14ac:dyDescent="0.3">
      <c r="A540" s="5" t="s">
        <v>53</v>
      </c>
      <c r="B540" s="5" t="s">
        <v>27</v>
      </c>
      <c r="C540" s="5" t="s">
        <v>41</v>
      </c>
      <c r="D540" s="5" t="s">
        <v>37</v>
      </c>
      <c r="E540" s="6">
        <v>10.07</v>
      </c>
      <c r="F540" s="6">
        <v>26.78</v>
      </c>
    </row>
    <row r="541" spans="1:6" x14ac:dyDescent="0.3">
      <c r="A541" s="5" t="s">
        <v>53</v>
      </c>
      <c r="B541" s="5" t="s">
        <v>27</v>
      </c>
      <c r="C541" s="5" t="s">
        <v>41</v>
      </c>
      <c r="D541" s="5" t="s">
        <v>38</v>
      </c>
      <c r="E541" s="6">
        <v>9.23</v>
      </c>
      <c r="F541" s="6">
        <v>22.44</v>
      </c>
    </row>
    <row r="542" spans="1:6" x14ac:dyDescent="0.3">
      <c r="A542" s="5" t="s">
        <v>53</v>
      </c>
      <c r="B542" s="5" t="s">
        <v>42</v>
      </c>
      <c r="C542" s="5" t="s">
        <v>41</v>
      </c>
      <c r="D542" s="5" t="s">
        <v>29</v>
      </c>
      <c r="E542" s="6">
        <v>1.98</v>
      </c>
      <c r="F542" s="6">
        <v>4.53</v>
      </c>
    </row>
    <row r="543" spans="1:6" x14ac:dyDescent="0.3">
      <c r="A543" s="5" t="s">
        <v>53</v>
      </c>
      <c r="B543" s="5" t="s">
        <v>42</v>
      </c>
      <c r="C543" s="5" t="s">
        <v>41</v>
      </c>
      <c r="D543" s="5" t="s">
        <v>30</v>
      </c>
      <c r="E543" s="6">
        <v>1.91</v>
      </c>
      <c r="F543" s="6">
        <v>4.51</v>
      </c>
    </row>
    <row r="544" spans="1:6" x14ac:dyDescent="0.3">
      <c r="A544" s="5" t="s">
        <v>53</v>
      </c>
      <c r="B544" s="5" t="s">
        <v>42</v>
      </c>
      <c r="C544" s="5" t="s">
        <v>41</v>
      </c>
      <c r="D544" s="5" t="s">
        <v>31</v>
      </c>
      <c r="E544" s="6">
        <v>1.98</v>
      </c>
      <c r="F544" s="6">
        <v>4.53</v>
      </c>
    </row>
    <row r="545" spans="1:6" x14ac:dyDescent="0.3">
      <c r="A545" s="5" t="s">
        <v>53</v>
      </c>
      <c r="B545" s="5" t="s">
        <v>42</v>
      </c>
      <c r="C545" s="5" t="s">
        <v>41</v>
      </c>
      <c r="D545" s="5" t="s">
        <v>32</v>
      </c>
      <c r="E545" s="6">
        <v>2.2000000000000002</v>
      </c>
      <c r="F545" s="6">
        <v>4.8099999999999996</v>
      </c>
    </row>
    <row r="546" spans="1:6" x14ac:dyDescent="0.3">
      <c r="A546" s="5" t="s">
        <v>53</v>
      </c>
      <c r="B546" s="5" t="s">
        <v>42</v>
      </c>
      <c r="C546" s="5" t="s">
        <v>41</v>
      </c>
      <c r="D546" s="5" t="s">
        <v>33</v>
      </c>
      <c r="E546" s="6">
        <v>2.31</v>
      </c>
      <c r="F546" s="6">
        <v>6.34</v>
      </c>
    </row>
    <row r="547" spans="1:6" x14ac:dyDescent="0.3">
      <c r="A547" s="5" t="s">
        <v>53</v>
      </c>
      <c r="B547" s="5" t="s">
        <v>42</v>
      </c>
      <c r="C547" s="5" t="s">
        <v>41</v>
      </c>
      <c r="D547" s="5" t="s">
        <v>34</v>
      </c>
      <c r="E547" s="6">
        <v>1.96</v>
      </c>
      <c r="F547" s="6">
        <v>4.79</v>
      </c>
    </row>
    <row r="548" spans="1:6" x14ac:dyDescent="0.3">
      <c r="A548" s="5" t="s">
        <v>53</v>
      </c>
      <c r="B548" s="5" t="s">
        <v>42</v>
      </c>
      <c r="C548" s="5" t="s">
        <v>41</v>
      </c>
      <c r="D548" s="5" t="s">
        <v>35</v>
      </c>
      <c r="E548" s="6">
        <v>2.34</v>
      </c>
      <c r="F548" s="6">
        <v>5.77</v>
      </c>
    </row>
    <row r="549" spans="1:6" x14ac:dyDescent="0.3">
      <c r="A549" s="5" t="s">
        <v>53</v>
      </c>
      <c r="B549" s="5" t="s">
        <v>42</v>
      </c>
      <c r="C549" s="5" t="s">
        <v>41</v>
      </c>
      <c r="D549" s="5" t="s">
        <v>36</v>
      </c>
      <c r="E549" s="6">
        <v>2.68</v>
      </c>
      <c r="F549" s="6">
        <v>7.46</v>
      </c>
    </row>
    <row r="550" spans="1:6" x14ac:dyDescent="0.3">
      <c r="A550" s="5" t="s">
        <v>53</v>
      </c>
      <c r="B550" s="5" t="s">
        <v>42</v>
      </c>
      <c r="C550" s="5" t="s">
        <v>41</v>
      </c>
      <c r="D550" s="5" t="s">
        <v>37</v>
      </c>
      <c r="E550" s="6">
        <v>3.54</v>
      </c>
      <c r="F550" s="6">
        <v>9.18</v>
      </c>
    </row>
    <row r="551" spans="1:6" x14ac:dyDescent="0.3">
      <c r="A551" s="5" t="s">
        <v>53</v>
      </c>
      <c r="B551" s="5" t="s">
        <v>42</v>
      </c>
      <c r="C551" s="5" t="s">
        <v>41</v>
      </c>
      <c r="D551" s="5" t="s">
        <v>38</v>
      </c>
      <c r="E551" s="6">
        <v>3.47</v>
      </c>
      <c r="F551" s="6">
        <v>7.99</v>
      </c>
    </row>
    <row r="552" spans="1:6" x14ac:dyDescent="0.3">
      <c r="A552" s="5" t="s">
        <v>53</v>
      </c>
      <c r="B552" s="5" t="s">
        <v>43</v>
      </c>
      <c r="C552" s="5" t="s">
        <v>41</v>
      </c>
      <c r="D552" s="5" t="s">
        <v>29</v>
      </c>
      <c r="E552" s="6">
        <v>28.3</v>
      </c>
      <c r="F552" s="6">
        <v>89.85</v>
      </c>
    </row>
    <row r="553" spans="1:6" x14ac:dyDescent="0.3">
      <c r="A553" s="5" t="s">
        <v>53</v>
      </c>
      <c r="B553" s="5" t="s">
        <v>43</v>
      </c>
      <c r="C553" s="5" t="s">
        <v>41</v>
      </c>
      <c r="D553" s="5" t="s">
        <v>30</v>
      </c>
      <c r="E553" s="6">
        <v>28.1</v>
      </c>
      <c r="F553" s="6">
        <v>93.69</v>
      </c>
    </row>
    <row r="554" spans="1:6" x14ac:dyDescent="0.3">
      <c r="A554" s="5" t="s">
        <v>53</v>
      </c>
      <c r="B554" s="5" t="s">
        <v>43</v>
      </c>
      <c r="C554" s="5" t="s">
        <v>41</v>
      </c>
      <c r="D554" s="5" t="s">
        <v>31</v>
      </c>
      <c r="E554" s="6">
        <v>28.8</v>
      </c>
      <c r="F554" s="6">
        <v>100.83</v>
      </c>
    </row>
    <row r="555" spans="1:6" x14ac:dyDescent="0.3">
      <c r="A555" s="5" t="s">
        <v>53</v>
      </c>
      <c r="B555" s="5" t="s">
        <v>43</v>
      </c>
      <c r="C555" s="5" t="s">
        <v>41</v>
      </c>
      <c r="D555" s="5" t="s">
        <v>32</v>
      </c>
      <c r="E555" s="6">
        <v>31.18</v>
      </c>
      <c r="F555" s="6">
        <v>109.16</v>
      </c>
    </row>
    <row r="556" spans="1:6" x14ac:dyDescent="0.3">
      <c r="A556" s="5" t="s">
        <v>53</v>
      </c>
      <c r="B556" s="5" t="s">
        <v>43</v>
      </c>
      <c r="C556" s="5" t="s">
        <v>41</v>
      </c>
      <c r="D556" s="5" t="s">
        <v>33</v>
      </c>
      <c r="E556" s="6">
        <v>30.02</v>
      </c>
      <c r="F556" s="6">
        <v>110.35</v>
      </c>
    </row>
    <row r="557" spans="1:6" x14ac:dyDescent="0.3">
      <c r="A557" s="5" t="s">
        <v>53</v>
      </c>
      <c r="B557" s="5" t="s">
        <v>43</v>
      </c>
      <c r="C557" s="5" t="s">
        <v>41</v>
      </c>
      <c r="D557" s="5" t="s">
        <v>34</v>
      </c>
      <c r="E557" s="6">
        <v>25.8</v>
      </c>
      <c r="F557" s="6">
        <v>100.96</v>
      </c>
    </row>
    <row r="558" spans="1:6" x14ac:dyDescent="0.3">
      <c r="A558" s="5" t="s">
        <v>53</v>
      </c>
      <c r="B558" s="5" t="s">
        <v>43</v>
      </c>
      <c r="C558" s="5" t="s">
        <v>41</v>
      </c>
      <c r="D558" s="5" t="s">
        <v>35</v>
      </c>
      <c r="E558" s="6">
        <v>27.94</v>
      </c>
      <c r="F558" s="6">
        <v>106.36</v>
      </c>
    </row>
    <row r="559" spans="1:6" x14ac:dyDescent="0.3">
      <c r="A559" s="5" t="s">
        <v>53</v>
      </c>
      <c r="B559" s="5" t="s">
        <v>43</v>
      </c>
      <c r="C559" s="5" t="s">
        <v>41</v>
      </c>
      <c r="D559" s="5" t="s">
        <v>36</v>
      </c>
      <c r="E559" s="6">
        <v>27.4</v>
      </c>
      <c r="F559" s="6">
        <v>97</v>
      </c>
    </row>
    <row r="560" spans="1:6" x14ac:dyDescent="0.3">
      <c r="A560" s="5" t="s">
        <v>53</v>
      </c>
      <c r="B560" s="5" t="s">
        <v>43</v>
      </c>
      <c r="C560" s="5" t="s">
        <v>41</v>
      </c>
      <c r="D560" s="5" t="s">
        <v>37</v>
      </c>
      <c r="E560" s="6">
        <v>31.68</v>
      </c>
      <c r="F560" s="6">
        <v>112.75</v>
      </c>
    </row>
    <row r="561" spans="1:6" x14ac:dyDescent="0.3">
      <c r="A561" s="5" t="s">
        <v>53</v>
      </c>
      <c r="B561" s="5" t="s">
        <v>43</v>
      </c>
      <c r="C561" s="5" t="s">
        <v>41</v>
      </c>
      <c r="D561" s="5" t="s">
        <v>38</v>
      </c>
      <c r="E561" s="6">
        <v>33.54</v>
      </c>
      <c r="F561" s="6">
        <v>121.55</v>
      </c>
    </row>
    <row r="562" spans="1:6" x14ac:dyDescent="0.3">
      <c r="A562" s="5" t="s">
        <v>53</v>
      </c>
      <c r="B562" s="5" t="s">
        <v>44</v>
      </c>
      <c r="C562" s="5" t="s">
        <v>41</v>
      </c>
      <c r="D562" s="5" t="s">
        <v>29</v>
      </c>
      <c r="E562" s="6">
        <v>5.79</v>
      </c>
      <c r="F562" s="6">
        <v>3.5</v>
      </c>
    </row>
    <row r="563" spans="1:6" x14ac:dyDescent="0.3">
      <c r="A563" s="5" t="s">
        <v>53</v>
      </c>
      <c r="B563" s="5" t="s">
        <v>44</v>
      </c>
      <c r="C563" s="5" t="s">
        <v>41</v>
      </c>
      <c r="D563" s="5" t="s">
        <v>30</v>
      </c>
      <c r="E563" s="6">
        <v>5.16</v>
      </c>
      <c r="F563" s="6">
        <v>3.01</v>
      </c>
    </row>
    <row r="564" spans="1:6" x14ac:dyDescent="0.3">
      <c r="A564" s="5" t="s">
        <v>53</v>
      </c>
      <c r="B564" s="5" t="s">
        <v>44</v>
      </c>
      <c r="C564" s="5" t="s">
        <v>41</v>
      </c>
      <c r="D564" s="5" t="s">
        <v>31</v>
      </c>
      <c r="E564" s="6">
        <v>5.64</v>
      </c>
      <c r="F564" s="6">
        <v>4.7</v>
      </c>
    </row>
    <row r="565" spans="1:6" x14ac:dyDescent="0.3">
      <c r="A565" s="5" t="s">
        <v>53</v>
      </c>
      <c r="B565" s="5" t="s">
        <v>44</v>
      </c>
      <c r="C565" s="5" t="s">
        <v>41</v>
      </c>
      <c r="D565" s="5" t="s">
        <v>32</v>
      </c>
      <c r="E565" s="6">
        <v>6.43</v>
      </c>
      <c r="F565" s="6">
        <v>4.5599999999999996</v>
      </c>
    </row>
    <row r="566" spans="1:6" x14ac:dyDescent="0.3">
      <c r="A566" s="5" t="s">
        <v>53</v>
      </c>
      <c r="B566" s="5" t="s">
        <v>44</v>
      </c>
      <c r="C566" s="5" t="s">
        <v>41</v>
      </c>
      <c r="D566" s="5" t="s">
        <v>33</v>
      </c>
      <c r="E566" s="6">
        <v>5.6</v>
      </c>
      <c r="F566" s="6">
        <v>5.9</v>
      </c>
    </row>
    <row r="567" spans="1:6" x14ac:dyDescent="0.3">
      <c r="A567" s="5" t="s">
        <v>53</v>
      </c>
      <c r="B567" s="5" t="s">
        <v>44</v>
      </c>
      <c r="C567" s="5" t="s">
        <v>41</v>
      </c>
      <c r="D567" s="5" t="s">
        <v>34</v>
      </c>
      <c r="E567" s="6">
        <v>6.2</v>
      </c>
      <c r="F567" s="6">
        <v>5.36</v>
      </c>
    </row>
    <row r="568" spans="1:6" x14ac:dyDescent="0.3">
      <c r="A568" s="5" t="s">
        <v>53</v>
      </c>
      <c r="B568" s="5" t="s">
        <v>44</v>
      </c>
      <c r="C568" s="5" t="s">
        <v>41</v>
      </c>
      <c r="D568" s="5" t="s">
        <v>35</v>
      </c>
      <c r="E568" s="6">
        <v>6.37</v>
      </c>
      <c r="F568" s="6">
        <v>5.67</v>
      </c>
    </row>
    <row r="569" spans="1:6" x14ac:dyDescent="0.3">
      <c r="A569" s="5" t="s">
        <v>53</v>
      </c>
      <c r="B569" s="5" t="s">
        <v>44</v>
      </c>
      <c r="C569" s="5" t="s">
        <v>41</v>
      </c>
      <c r="D569" s="5" t="s">
        <v>36</v>
      </c>
      <c r="E569" s="6">
        <v>5.09</v>
      </c>
      <c r="F569" s="6">
        <v>4.51</v>
      </c>
    </row>
    <row r="570" spans="1:6" x14ac:dyDescent="0.3">
      <c r="A570" s="5" t="s">
        <v>53</v>
      </c>
      <c r="B570" s="5" t="s">
        <v>44</v>
      </c>
      <c r="C570" s="5" t="s">
        <v>41</v>
      </c>
      <c r="D570" s="5" t="s">
        <v>37</v>
      </c>
      <c r="E570" s="6">
        <v>6.42</v>
      </c>
      <c r="F570" s="6">
        <v>5.2</v>
      </c>
    </row>
    <row r="571" spans="1:6" x14ac:dyDescent="0.3">
      <c r="A571" s="5" t="s">
        <v>53</v>
      </c>
      <c r="B571" s="5" t="s">
        <v>44</v>
      </c>
      <c r="C571" s="5" t="s">
        <v>41</v>
      </c>
      <c r="D571" s="5" t="s">
        <v>38</v>
      </c>
      <c r="E571" s="6">
        <v>4.9800000000000004</v>
      </c>
      <c r="F571" s="6">
        <v>3.06</v>
      </c>
    </row>
    <row r="572" spans="1:6" x14ac:dyDescent="0.3">
      <c r="A572" s="5" t="s">
        <v>53</v>
      </c>
      <c r="B572" s="5" t="s">
        <v>45</v>
      </c>
      <c r="C572" s="5" t="s">
        <v>41</v>
      </c>
      <c r="D572" s="5" t="s">
        <v>29</v>
      </c>
      <c r="E572" s="6">
        <v>41.5</v>
      </c>
      <c r="F572" s="6">
        <v>41.55</v>
      </c>
    </row>
    <row r="573" spans="1:6" x14ac:dyDescent="0.3">
      <c r="A573" s="5" t="s">
        <v>53</v>
      </c>
      <c r="B573" s="5" t="s">
        <v>45</v>
      </c>
      <c r="C573" s="5" t="s">
        <v>41</v>
      </c>
      <c r="D573" s="5" t="s">
        <v>30</v>
      </c>
      <c r="E573" s="6">
        <v>42.36</v>
      </c>
      <c r="F573" s="6">
        <v>37.53</v>
      </c>
    </row>
    <row r="574" spans="1:6" x14ac:dyDescent="0.3">
      <c r="A574" s="5" t="s">
        <v>53</v>
      </c>
      <c r="B574" s="5" t="s">
        <v>45</v>
      </c>
      <c r="C574" s="5" t="s">
        <v>41</v>
      </c>
      <c r="D574" s="5" t="s">
        <v>31</v>
      </c>
      <c r="E574" s="6">
        <v>41.8</v>
      </c>
      <c r="F574" s="6">
        <v>38.08</v>
      </c>
    </row>
    <row r="575" spans="1:6" x14ac:dyDescent="0.3">
      <c r="A575" s="5" t="s">
        <v>53</v>
      </c>
      <c r="B575" s="5" t="s">
        <v>45</v>
      </c>
      <c r="C575" s="5" t="s">
        <v>41</v>
      </c>
      <c r="D575" s="5" t="s">
        <v>32</v>
      </c>
      <c r="E575" s="6">
        <v>42.87</v>
      </c>
      <c r="F575" s="6">
        <v>46.86</v>
      </c>
    </row>
    <row r="576" spans="1:6" x14ac:dyDescent="0.3">
      <c r="A576" s="5" t="s">
        <v>53</v>
      </c>
      <c r="B576" s="5" t="s">
        <v>45</v>
      </c>
      <c r="C576" s="5" t="s">
        <v>41</v>
      </c>
      <c r="D576" s="5" t="s">
        <v>33</v>
      </c>
      <c r="E576" s="6">
        <v>43.48</v>
      </c>
      <c r="F576" s="6">
        <v>45.61</v>
      </c>
    </row>
    <row r="577" spans="1:6" x14ac:dyDescent="0.3">
      <c r="A577" s="5" t="s">
        <v>53</v>
      </c>
      <c r="B577" s="5" t="s">
        <v>45</v>
      </c>
      <c r="C577" s="5" t="s">
        <v>41</v>
      </c>
      <c r="D577" s="5" t="s">
        <v>34</v>
      </c>
      <c r="E577" s="6">
        <v>37.36</v>
      </c>
      <c r="F577" s="6">
        <v>37.4</v>
      </c>
    </row>
    <row r="578" spans="1:6" x14ac:dyDescent="0.3">
      <c r="A578" s="5" t="s">
        <v>53</v>
      </c>
      <c r="B578" s="5" t="s">
        <v>45</v>
      </c>
      <c r="C578" s="5" t="s">
        <v>41</v>
      </c>
      <c r="D578" s="5" t="s">
        <v>35</v>
      </c>
      <c r="E578" s="6">
        <v>45.71</v>
      </c>
      <c r="F578" s="6">
        <v>51.05</v>
      </c>
    </row>
    <row r="579" spans="1:6" x14ac:dyDescent="0.3">
      <c r="A579" s="5" t="s">
        <v>53</v>
      </c>
      <c r="B579" s="5" t="s">
        <v>45</v>
      </c>
      <c r="C579" s="5" t="s">
        <v>41</v>
      </c>
      <c r="D579" s="5" t="s">
        <v>36</v>
      </c>
      <c r="E579" s="6">
        <v>42.88</v>
      </c>
      <c r="F579" s="6">
        <v>44.3</v>
      </c>
    </row>
    <row r="580" spans="1:6" x14ac:dyDescent="0.3">
      <c r="A580" s="5" t="s">
        <v>53</v>
      </c>
      <c r="B580" s="5" t="s">
        <v>45</v>
      </c>
      <c r="C580" s="5" t="s">
        <v>41</v>
      </c>
      <c r="D580" s="5" t="s">
        <v>37</v>
      </c>
      <c r="E580" s="6">
        <v>43.82</v>
      </c>
      <c r="F580" s="6">
        <v>50.27</v>
      </c>
    </row>
    <row r="581" spans="1:6" x14ac:dyDescent="0.3">
      <c r="A581" s="5" t="s">
        <v>53</v>
      </c>
      <c r="B581" s="5" t="s">
        <v>45</v>
      </c>
      <c r="C581" s="5" t="s">
        <v>41</v>
      </c>
      <c r="D581" s="5" t="s">
        <v>38</v>
      </c>
      <c r="E581" s="6">
        <v>39.39</v>
      </c>
      <c r="F581" s="6">
        <v>44.82</v>
      </c>
    </row>
    <row r="582" spans="1:6" x14ac:dyDescent="0.3">
      <c r="A582" s="5" t="s">
        <v>53</v>
      </c>
      <c r="B582" s="5" t="s">
        <v>47</v>
      </c>
      <c r="C582" s="5" t="s">
        <v>41</v>
      </c>
      <c r="D582" s="5" t="s">
        <v>29</v>
      </c>
      <c r="E582" s="6">
        <v>7.0000000000000007E-2</v>
      </c>
      <c r="F582" s="6">
        <v>4.8899999999999997</v>
      </c>
    </row>
    <row r="583" spans="1:6" x14ac:dyDescent="0.3">
      <c r="A583" s="5" t="s">
        <v>53</v>
      </c>
      <c r="B583" s="5" t="s">
        <v>47</v>
      </c>
      <c r="C583" s="5" t="s">
        <v>41</v>
      </c>
      <c r="D583" s="5" t="s">
        <v>30</v>
      </c>
      <c r="E583" s="6">
        <v>0.05</v>
      </c>
      <c r="F583" s="6">
        <v>3.82</v>
      </c>
    </row>
    <row r="584" spans="1:6" x14ac:dyDescent="0.3">
      <c r="A584" s="5" t="s">
        <v>53</v>
      </c>
      <c r="B584" s="5" t="s">
        <v>47</v>
      </c>
      <c r="C584" s="5" t="s">
        <v>41</v>
      </c>
      <c r="D584" s="5" t="s">
        <v>31</v>
      </c>
      <c r="E584" s="6">
        <v>0.05</v>
      </c>
      <c r="F584" s="6">
        <v>4.4800000000000004</v>
      </c>
    </row>
    <row r="585" spans="1:6" x14ac:dyDescent="0.3">
      <c r="A585" s="5" t="s">
        <v>53</v>
      </c>
      <c r="B585" s="5" t="s">
        <v>47</v>
      </c>
      <c r="C585" s="5" t="s">
        <v>41</v>
      </c>
      <c r="D585" s="5" t="s">
        <v>32</v>
      </c>
      <c r="E585" s="6">
        <v>0.04</v>
      </c>
      <c r="F585" s="6">
        <v>3.26</v>
      </c>
    </row>
    <row r="586" spans="1:6" x14ac:dyDescent="0.3">
      <c r="A586" s="5" t="s">
        <v>53</v>
      </c>
      <c r="B586" s="5" t="s">
        <v>47</v>
      </c>
      <c r="C586" s="5" t="s">
        <v>41</v>
      </c>
      <c r="D586" s="5" t="s">
        <v>33</v>
      </c>
      <c r="E586" s="6">
        <v>0.05</v>
      </c>
      <c r="F586" s="6">
        <v>3.94</v>
      </c>
    </row>
    <row r="587" spans="1:6" x14ac:dyDescent="0.3">
      <c r="A587" s="5" t="s">
        <v>53</v>
      </c>
      <c r="B587" s="5" t="s">
        <v>47</v>
      </c>
      <c r="C587" s="5" t="s">
        <v>41</v>
      </c>
      <c r="D587" s="5" t="s">
        <v>34</v>
      </c>
      <c r="E587" s="6">
        <v>0.04</v>
      </c>
      <c r="F587" s="6">
        <v>3.21</v>
      </c>
    </row>
    <row r="588" spans="1:6" x14ac:dyDescent="0.3">
      <c r="A588" s="5" t="s">
        <v>53</v>
      </c>
      <c r="B588" s="5" t="s">
        <v>47</v>
      </c>
      <c r="C588" s="5" t="s">
        <v>41</v>
      </c>
      <c r="D588" s="5" t="s">
        <v>35</v>
      </c>
      <c r="E588" s="6">
        <v>0.04</v>
      </c>
      <c r="F588" s="6">
        <v>3.1</v>
      </c>
    </row>
    <row r="589" spans="1:6" x14ac:dyDescent="0.3">
      <c r="A589" s="5" t="s">
        <v>53</v>
      </c>
      <c r="B589" s="5" t="s">
        <v>47</v>
      </c>
      <c r="C589" s="5" t="s">
        <v>41</v>
      </c>
      <c r="D589" s="5" t="s">
        <v>36</v>
      </c>
      <c r="E589" s="6">
        <v>0.04</v>
      </c>
      <c r="F589" s="6">
        <v>3.45</v>
      </c>
    </row>
    <row r="590" spans="1:6" x14ac:dyDescent="0.3">
      <c r="A590" s="5" t="s">
        <v>53</v>
      </c>
      <c r="B590" s="5" t="s">
        <v>47</v>
      </c>
      <c r="C590" s="5" t="s">
        <v>41</v>
      </c>
      <c r="D590" s="5" t="s">
        <v>37</v>
      </c>
      <c r="E590" s="6">
        <v>0.06</v>
      </c>
      <c r="F590" s="6">
        <v>4.6500000000000004</v>
      </c>
    </row>
    <row r="591" spans="1:6" x14ac:dyDescent="0.3">
      <c r="A591" s="5" t="s">
        <v>53</v>
      </c>
      <c r="B591" s="5" t="s">
        <v>47</v>
      </c>
      <c r="C591" s="5" t="s">
        <v>41</v>
      </c>
      <c r="D591" s="5" t="s">
        <v>38</v>
      </c>
      <c r="E591" s="6">
        <v>0.05</v>
      </c>
      <c r="F591" s="6">
        <v>3.63</v>
      </c>
    </row>
    <row r="592" spans="1:6" x14ac:dyDescent="0.3">
      <c r="A592" s="5" t="s">
        <v>54</v>
      </c>
      <c r="B592" s="5" t="s">
        <v>27</v>
      </c>
      <c r="C592" s="5" t="s">
        <v>28</v>
      </c>
      <c r="D592" s="5" t="s">
        <v>29</v>
      </c>
      <c r="E592" s="6">
        <v>1.69</v>
      </c>
      <c r="F592" s="6">
        <v>7.7</v>
      </c>
    </row>
    <row r="593" spans="1:6" x14ac:dyDescent="0.3">
      <c r="A593" s="5" t="s">
        <v>54</v>
      </c>
      <c r="B593" s="5" t="s">
        <v>27</v>
      </c>
      <c r="C593" s="5" t="s">
        <v>28</v>
      </c>
      <c r="D593" s="5" t="s">
        <v>30</v>
      </c>
      <c r="E593" s="6">
        <v>1.66</v>
      </c>
      <c r="F593" s="6">
        <v>15.32</v>
      </c>
    </row>
    <row r="594" spans="1:6" x14ac:dyDescent="0.3">
      <c r="A594" s="5" t="s">
        <v>54</v>
      </c>
      <c r="B594" s="5" t="s">
        <v>27</v>
      </c>
      <c r="C594" s="5" t="s">
        <v>28</v>
      </c>
      <c r="D594" s="5" t="s">
        <v>31</v>
      </c>
      <c r="E594" s="6">
        <v>1.69</v>
      </c>
      <c r="F594" s="6">
        <v>12.84</v>
      </c>
    </row>
    <row r="595" spans="1:6" x14ac:dyDescent="0.3">
      <c r="A595" s="5" t="s">
        <v>54</v>
      </c>
      <c r="B595" s="5" t="s">
        <v>27</v>
      </c>
      <c r="C595" s="5" t="s">
        <v>28</v>
      </c>
      <c r="D595" s="5" t="s">
        <v>32</v>
      </c>
      <c r="E595" s="6">
        <v>1.69</v>
      </c>
      <c r="F595" s="6">
        <v>13.68</v>
      </c>
    </row>
    <row r="596" spans="1:6" x14ac:dyDescent="0.3">
      <c r="A596" s="5" t="s">
        <v>54</v>
      </c>
      <c r="B596" s="5" t="s">
        <v>27</v>
      </c>
      <c r="C596" s="5" t="s">
        <v>28</v>
      </c>
      <c r="D596" s="5" t="s">
        <v>33</v>
      </c>
      <c r="E596" s="6">
        <v>2.2599999999999998</v>
      </c>
      <c r="F596" s="6">
        <v>16.420000000000002</v>
      </c>
    </row>
    <row r="597" spans="1:6" x14ac:dyDescent="0.3">
      <c r="A597" s="5" t="s">
        <v>54</v>
      </c>
      <c r="B597" s="5" t="s">
        <v>27</v>
      </c>
      <c r="C597" s="5" t="s">
        <v>28</v>
      </c>
      <c r="D597" s="5" t="s">
        <v>34</v>
      </c>
      <c r="E597" s="6">
        <v>2.0099999999999998</v>
      </c>
      <c r="F597" s="6">
        <v>16.22</v>
      </c>
    </row>
    <row r="598" spans="1:6" x14ac:dyDescent="0.3">
      <c r="A598" s="5" t="s">
        <v>54</v>
      </c>
      <c r="B598" s="5" t="s">
        <v>27</v>
      </c>
      <c r="C598" s="5" t="s">
        <v>28</v>
      </c>
      <c r="D598" s="5" t="s">
        <v>35</v>
      </c>
      <c r="E598" s="6">
        <v>2.23</v>
      </c>
      <c r="F598" s="6">
        <v>17.399999999999999</v>
      </c>
    </row>
    <row r="599" spans="1:6" x14ac:dyDescent="0.3">
      <c r="A599" s="5" t="s">
        <v>54</v>
      </c>
      <c r="B599" s="5" t="s">
        <v>27</v>
      </c>
      <c r="C599" s="5" t="s">
        <v>28</v>
      </c>
      <c r="D599" s="5" t="s">
        <v>36</v>
      </c>
      <c r="E599" s="6">
        <v>2.4</v>
      </c>
      <c r="F599" s="6">
        <v>17.5</v>
      </c>
    </row>
    <row r="600" spans="1:6" x14ac:dyDescent="0.3">
      <c r="A600" s="5" t="s">
        <v>54</v>
      </c>
      <c r="B600" s="5" t="s">
        <v>27</v>
      </c>
      <c r="C600" s="5" t="s">
        <v>28</v>
      </c>
      <c r="D600" s="5" t="s">
        <v>37</v>
      </c>
      <c r="E600" s="6">
        <v>2.33</v>
      </c>
      <c r="F600" s="6">
        <v>13.81</v>
      </c>
    </row>
    <row r="601" spans="1:6" x14ac:dyDescent="0.3">
      <c r="A601" s="5" t="s">
        <v>54</v>
      </c>
      <c r="B601" s="5" t="s">
        <v>27</v>
      </c>
      <c r="C601" s="5" t="s">
        <v>28</v>
      </c>
      <c r="D601" s="5" t="s">
        <v>38</v>
      </c>
      <c r="E601" s="6">
        <v>2.57</v>
      </c>
      <c r="F601" s="6">
        <v>17.64</v>
      </c>
    </row>
    <row r="602" spans="1:6" x14ac:dyDescent="0.3">
      <c r="A602" s="5" t="s">
        <v>54</v>
      </c>
      <c r="B602" s="5" t="s">
        <v>27</v>
      </c>
      <c r="C602" s="5" t="s">
        <v>39</v>
      </c>
      <c r="D602" s="5" t="s">
        <v>29</v>
      </c>
      <c r="E602" s="6">
        <v>1.46</v>
      </c>
      <c r="F602" s="6">
        <v>1.83</v>
      </c>
    </row>
    <row r="603" spans="1:6" x14ac:dyDescent="0.3">
      <c r="A603" s="5" t="s">
        <v>54</v>
      </c>
      <c r="B603" s="5" t="s">
        <v>27</v>
      </c>
      <c r="C603" s="5" t="s">
        <v>39</v>
      </c>
      <c r="D603" s="5" t="s">
        <v>30</v>
      </c>
      <c r="E603" s="6">
        <v>1.58</v>
      </c>
      <c r="F603" s="6">
        <v>10.59</v>
      </c>
    </row>
    <row r="604" spans="1:6" x14ac:dyDescent="0.3">
      <c r="A604" s="5" t="s">
        <v>54</v>
      </c>
      <c r="B604" s="5" t="s">
        <v>27</v>
      </c>
      <c r="C604" s="5" t="s">
        <v>39</v>
      </c>
      <c r="D604" s="5" t="s">
        <v>31</v>
      </c>
      <c r="E604" s="6">
        <v>2.2200000000000002</v>
      </c>
      <c r="F604" s="6">
        <v>15.51</v>
      </c>
    </row>
    <row r="605" spans="1:6" x14ac:dyDescent="0.3">
      <c r="A605" s="5" t="s">
        <v>54</v>
      </c>
      <c r="B605" s="5" t="s">
        <v>27</v>
      </c>
      <c r="C605" s="5" t="s">
        <v>39</v>
      </c>
      <c r="D605" s="5" t="s">
        <v>32</v>
      </c>
      <c r="E605" s="6">
        <v>1.65</v>
      </c>
      <c r="F605" s="6">
        <v>11.08</v>
      </c>
    </row>
    <row r="606" spans="1:6" x14ac:dyDescent="0.3">
      <c r="A606" s="5" t="s">
        <v>54</v>
      </c>
      <c r="B606" s="5" t="s">
        <v>27</v>
      </c>
      <c r="C606" s="5" t="s">
        <v>39</v>
      </c>
      <c r="D606" s="5" t="s">
        <v>33</v>
      </c>
      <c r="E606" s="6">
        <v>1.75</v>
      </c>
      <c r="F606" s="6">
        <v>9.23</v>
      </c>
    </row>
    <row r="607" spans="1:6" x14ac:dyDescent="0.3">
      <c r="A607" s="5" t="s">
        <v>54</v>
      </c>
      <c r="B607" s="5" t="s">
        <v>27</v>
      </c>
      <c r="C607" s="5" t="s">
        <v>39</v>
      </c>
      <c r="D607" s="5" t="s">
        <v>34</v>
      </c>
      <c r="E607" s="6">
        <v>1.99</v>
      </c>
      <c r="F607" s="6">
        <v>12.05</v>
      </c>
    </row>
    <row r="608" spans="1:6" x14ac:dyDescent="0.3">
      <c r="A608" s="5" t="s">
        <v>54</v>
      </c>
      <c r="B608" s="5" t="s">
        <v>27</v>
      </c>
      <c r="C608" s="5" t="s">
        <v>39</v>
      </c>
      <c r="D608" s="5" t="s">
        <v>35</v>
      </c>
      <c r="E608" s="6">
        <v>1.85</v>
      </c>
      <c r="F608" s="6">
        <v>11.39</v>
      </c>
    </row>
    <row r="609" spans="1:6" x14ac:dyDescent="0.3">
      <c r="A609" s="5" t="s">
        <v>54</v>
      </c>
      <c r="B609" s="5" t="s">
        <v>27</v>
      </c>
      <c r="C609" s="5" t="s">
        <v>39</v>
      </c>
      <c r="D609" s="5" t="s">
        <v>36</v>
      </c>
      <c r="E609" s="6">
        <v>1.92</v>
      </c>
      <c r="F609" s="6">
        <v>9.74</v>
      </c>
    </row>
    <row r="610" spans="1:6" x14ac:dyDescent="0.3">
      <c r="A610" s="5" t="s">
        <v>54</v>
      </c>
      <c r="B610" s="5" t="s">
        <v>27</v>
      </c>
      <c r="C610" s="5" t="s">
        <v>39</v>
      </c>
      <c r="D610" s="5" t="s">
        <v>37</v>
      </c>
      <c r="E610" s="6">
        <v>2.4900000000000002</v>
      </c>
      <c r="F610" s="6">
        <v>12.67</v>
      </c>
    </row>
    <row r="611" spans="1:6" x14ac:dyDescent="0.3">
      <c r="A611" s="5" t="s">
        <v>54</v>
      </c>
      <c r="B611" s="5" t="s">
        <v>27</v>
      </c>
      <c r="C611" s="5" t="s">
        <v>39</v>
      </c>
      <c r="D611" s="5" t="s">
        <v>38</v>
      </c>
      <c r="E611" s="6">
        <v>2.6</v>
      </c>
      <c r="F611" s="6">
        <v>14.46</v>
      </c>
    </row>
    <row r="612" spans="1:6" x14ac:dyDescent="0.3">
      <c r="A612" s="5" t="s">
        <v>54</v>
      </c>
      <c r="B612" s="5" t="s">
        <v>27</v>
      </c>
      <c r="C612" s="5" t="s">
        <v>40</v>
      </c>
      <c r="D612" s="5" t="s">
        <v>29</v>
      </c>
      <c r="E612" s="6"/>
      <c r="F612" s="6"/>
    </row>
    <row r="613" spans="1:6" x14ac:dyDescent="0.3">
      <c r="A613" s="5" t="s">
        <v>54</v>
      </c>
      <c r="B613" s="5" t="s">
        <v>27</v>
      </c>
      <c r="C613" s="5" t="s">
        <v>40</v>
      </c>
      <c r="D613" s="5" t="s">
        <v>30</v>
      </c>
      <c r="E613" s="6"/>
      <c r="F613" s="6"/>
    </row>
    <row r="614" spans="1:6" x14ac:dyDescent="0.3">
      <c r="A614" s="5" t="s">
        <v>54</v>
      </c>
      <c r="B614" s="5" t="s">
        <v>27</v>
      </c>
      <c r="C614" s="5" t="s">
        <v>40</v>
      </c>
      <c r="D614" s="5" t="s">
        <v>31</v>
      </c>
      <c r="E614" s="6"/>
      <c r="F614" s="6"/>
    </row>
    <row r="615" spans="1:6" x14ac:dyDescent="0.3">
      <c r="A615" s="5" t="s">
        <v>54</v>
      </c>
      <c r="B615" s="5" t="s">
        <v>27</v>
      </c>
      <c r="C615" s="5" t="s">
        <v>40</v>
      </c>
      <c r="D615" s="5" t="s">
        <v>32</v>
      </c>
      <c r="E615" s="6"/>
      <c r="F615" s="6"/>
    </row>
    <row r="616" spans="1:6" x14ac:dyDescent="0.3">
      <c r="A616" s="5" t="s">
        <v>54</v>
      </c>
      <c r="B616" s="5" t="s">
        <v>27</v>
      </c>
      <c r="C616" s="5" t="s">
        <v>40</v>
      </c>
      <c r="D616" s="5" t="s">
        <v>33</v>
      </c>
      <c r="E616" s="6"/>
      <c r="F616" s="6"/>
    </row>
    <row r="617" spans="1:6" x14ac:dyDescent="0.3">
      <c r="A617" s="5" t="s">
        <v>54</v>
      </c>
      <c r="B617" s="5" t="s">
        <v>27</v>
      </c>
      <c r="C617" s="5" t="s">
        <v>40</v>
      </c>
      <c r="D617" s="5" t="s">
        <v>34</v>
      </c>
      <c r="E617" s="6"/>
      <c r="F617" s="6"/>
    </row>
    <row r="618" spans="1:6" x14ac:dyDescent="0.3">
      <c r="A618" s="5" t="s">
        <v>54</v>
      </c>
      <c r="B618" s="5" t="s">
        <v>27</v>
      </c>
      <c r="C618" s="5" t="s">
        <v>40</v>
      </c>
      <c r="D618" s="5" t="s">
        <v>35</v>
      </c>
      <c r="E618" s="6">
        <v>0.18</v>
      </c>
      <c r="F618" s="6">
        <v>1.1100000000000001</v>
      </c>
    </row>
    <row r="619" spans="1:6" x14ac:dyDescent="0.3">
      <c r="A619" s="5" t="s">
        <v>54</v>
      </c>
      <c r="B619" s="5" t="s">
        <v>27</v>
      </c>
      <c r="C619" s="5" t="s">
        <v>40</v>
      </c>
      <c r="D619" s="5" t="s">
        <v>36</v>
      </c>
      <c r="E619" s="6">
        <v>0.23</v>
      </c>
      <c r="F619" s="6">
        <v>1.1499999999999999</v>
      </c>
    </row>
    <row r="620" spans="1:6" x14ac:dyDescent="0.3">
      <c r="A620" s="5" t="s">
        <v>54</v>
      </c>
      <c r="B620" s="5" t="s">
        <v>27</v>
      </c>
      <c r="C620" s="5" t="s">
        <v>40</v>
      </c>
      <c r="D620" s="5" t="s">
        <v>37</v>
      </c>
      <c r="E620" s="6">
        <v>0.03</v>
      </c>
      <c r="F620" s="6">
        <v>0.15</v>
      </c>
    </row>
    <row r="621" spans="1:6" x14ac:dyDescent="0.3">
      <c r="A621" s="5" t="s">
        <v>54</v>
      </c>
      <c r="B621" s="5" t="s">
        <v>27</v>
      </c>
      <c r="C621" s="5" t="s">
        <v>40</v>
      </c>
      <c r="D621" s="5" t="s">
        <v>38</v>
      </c>
      <c r="E621" s="6">
        <v>0.23</v>
      </c>
      <c r="F621" s="6">
        <v>1.1499999999999999</v>
      </c>
    </row>
    <row r="622" spans="1:6" x14ac:dyDescent="0.3">
      <c r="A622" s="5" t="s">
        <v>54</v>
      </c>
      <c r="B622" s="5" t="s">
        <v>27</v>
      </c>
      <c r="C622" s="5" t="s">
        <v>41</v>
      </c>
      <c r="D622" s="5" t="s">
        <v>29</v>
      </c>
      <c r="E622" s="6">
        <v>3.15</v>
      </c>
      <c r="F622" s="6">
        <v>9.5299999999999994</v>
      </c>
    </row>
    <row r="623" spans="1:6" x14ac:dyDescent="0.3">
      <c r="A623" s="5" t="s">
        <v>54</v>
      </c>
      <c r="B623" s="5" t="s">
        <v>27</v>
      </c>
      <c r="C623" s="5" t="s">
        <v>41</v>
      </c>
      <c r="D623" s="5" t="s">
        <v>30</v>
      </c>
      <c r="E623" s="6">
        <v>3.25</v>
      </c>
      <c r="F623" s="6">
        <v>25.92</v>
      </c>
    </row>
    <row r="624" spans="1:6" x14ac:dyDescent="0.3">
      <c r="A624" s="5" t="s">
        <v>54</v>
      </c>
      <c r="B624" s="5" t="s">
        <v>27</v>
      </c>
      <c r="C624" s="5" t="s">
        <v>41</v>
      </c>
      <c r="D624" s="5" t="s">
        <v>31</v>
      </c>
      <c r="E624" s="6">
        <v>3.91</v>
      </c>
      <c r="F624" s="6">
        <v>28.35</v>
      </c>
    </row>
    <row r="625" spans="1:6" x14ac:dyDescent="0.3">
      <c r="A625" s="5" t="s">
        <v>54</v>
      </c>
      <c r="B625" s="5" t="s">
        <v>27</v>
      </c>
      <c r="C625" s="5" t="s">
        <v>41</v>
      </c>
      <c r="D625" s="5" t="s">
        <v>32</v>
      </c>
      <c r="E625" s="6">
        <v>3.34</v>
      </c>
      <c r="F625" s="6">
        <v>24.76</v>
      </c>
    </row>
    <row r="626" spans="1:6" x14ac:dyDescent="0.3">
      <c r="A626" s="5" t="s">
        <v>54</v>
      </c>
      <c r="B626" s="5" t="s">
        <v>27</v>
      </c>
      <c r="C626" s="5" t="s">
        <v>41</v>
      </c>
      <c r="D626" s="5" t="s">
        <v>33</v>
      </c>
      <c r="E626" s="6">
        <v>4</v>
      </c>
      <c r="F626" s="6">
        <v>25.65</v>
      </c>
    </row>
    <row r="627" spans="1:6" x14ac:dyDescent="0.3">
      <c r="A627" s="5" t="s">
        <v>54</v>
      </c>
      <c r="B627" s="5" t="s">
        <v>27</v>
      </c>
      <c r="C627" s="5" t="s">
        <v>41</v>
      </c>
      <c r="D627" s="5" t="s">
        <v>34</v>
      </c>
      <c r="E627" s="6">
        <v>4</v>
      </c>
      <c r="F627" s="6">
        <v>28.27</v>
      </c>
    </row>
    <row r="628" spans="1:6" x14ac:dyDescent="0.3">
      <c r="A628" s="5" t="s">
        <v>54</v>
      </c>
      <c r="B628" s="5" t="s">
        <v>27</v>
      </c>
      <c r="C628" s="5" t="s">
        <v>41</v>
      </c>
      <c r="D628" s="5" t="s">
        <v>35</v>
      </c>
      <c r="E628" s="6">
        <v>4.2699999999999996</v>
      </c>
      <c r="F628" s="6">
        <v>29.9</v>
      </c>
    </row>
    <row r="629" spans="1:6" x14ac:dyDescent="0.3">
      <c r="A629" s="5" t="s">
        <v>54</v>
      </c>
      <c r="B629" s="5" t="s">
        <v>27</v>
      </c>
      <c r="C629" s="5" t="s">
        <v>41</v>
      </c>
      <c r="D629" s="5" t="s">
        <v>36</v>
      </c>
      <c r="E629" s="6">
        <v>4.55</v>
      </c>
      <c r="F629" s="6">
        <v>28.39</v>
      </c>
    </row>
    <row r="630" spans="1:6" x14ac:dyDescent="0.3">
      <c r="A630" s="5" t="s">
        <v>54</v>
      </c>
      <c r="B630" s="5" t="s">
        <v>27</v>
      </c>
      <c r="C630" s="5" t="s">
        <v>41</v>
      </c>
      <c r="D630" s="5" t="s">
        <v>37</v>
      </c>
      <c r="E630" s="6">
        <v>4.8499999999999996</v>
      </c>
      <c r="F630" s="6">
        <v>26.63</v>
      </c>
    </row>
    <row r="631" spans="1:6" x14ac:dyDescent="0.3">
      <c r="A631" s="5" t="s">
        <v>54</v>
      </c>
      <c r="B631" s="5" t="s">
        <v>27</v>
      </c>
      <c r="C631" s="5" t="s">
        <v>41</v>
      </c>
      <c r="D631" s="5" t="s">
        <v>38</v>
      </c>
      <c r="E631" s="6">
        <v>5.39</v>
      </c>
      <c r="F631" s="6">
        <v>33.26</v>
      </c>
    </row>
    <row r="632" spans="1:6" x14ac:dyDescent="0.3">
      <c r="A632" s="5" t="s">
        <v>54</v>
      </c>
      <c r="B632" s="5" t="s">
        <v>42</v>
      </c>
      <c r="C632" s="5" t="s">
        <v>41</v>
      </c>
      <c r="D632" s="5" t="s">
        <v>29</v>
      </c>
      <c r="E632" s="6">
        <v>14.43</v>
      </c>
      <c r="F632" s="6">
        <v>23.69</v>
      </c>
    </row>
    <row r="633" spans="1:6" x14ac:dyDescent="0.3">
      <c r="A633" s="5" t="s">
        <v>54</v>
      </c>
      <c r="B633" s="5" t="s">
        <v>42</v>
      </c>
      <c r="C633" s="5" t="s">
        <v>41</v>
      </c>
      <c r="D633" s="5" t="s">
        <v>30</v>
      </c>
      <c r="E633" s="6">
        <v>18.29</v>
      </c>
      <c r="F633" s="6">
        <v>66.39</v>
      </c>
    </row>
    <row r="634" spans="1:6" x14ac:dyDescent="0.3">
      <c r="A634" s="5" t="s">
        <v>54</v>
      </c>
      <c r="B634" s="5" t="s">
        <v>42</v>
      </c>
      <c r="C634" s="5" t="s">
        <v>41</v>
      </c>
      <c r="D634" s="5" t="s">
        <v>31</v>
      </c>
      <c r="E634" s="6">
        <v>17.21</v>
      </c>
      <c r="F634" s="6">
        <v>61.31</v>
      </c>
    </row>
    <row r="635" spans="1:6" x14ac:dyDescent="0.3">
      <c r="A635" s="5" t="s">
        <v>54</v>
      </c>
      <c r="B635" s="5" t="s">
        <v>42</v>
      </c>
      <c r="C635" s="5" t="s">
        <v>41</v>
      </c>
      <c r="D635" s="5" t="s">
        <v>32</v>
      </c>
      <c r="E635" s="6">
        <v>19.07</v>
      </c>
      <c r="F635" s="6">
        <v>71.709999999999994</v>
      </c>
    </row>
    <row r="636" spans="1:6" x14ac:dyDescent="0.3">
      <c r="A636" s="5" t="s">
        <v>54</v>
      </c>
      <c r="B636" s="5" t="s">
        <v>42</v>
      </c>
      <c r="C636" s="5" t="s">
        <v>41</v>
      </c>
      <c r="D636" s="5" t="s">
        <v>33</v>
      </c>
      <c r="E636" s="6">
        <v>20.36</v>
      </c>
      <c r="F636" s="6">
        <v>68.81</v>
      </c>
    </row>
    <row r="637" spans="1:6" x14ac:dyDescent="0.3">
      <c r="A637" s="5" t="s">
        <v>54</v>
      </c>
      <c r="B637" s="5" t="s">
        <v>42</v>
      </c>
      <c r="C637" s="5" t="s">
        <v>41</v>
      </c>
      <c r="D637" s="5" t="s">
        <v>34</v>
      </c>
      <c r="E637" s="6">
        <v>22.17</v>
      </c>
      <c r="F637" s="6">
        <v>79.069999999999993</v>
      </c>
    </row>
    <row r="638" spans="1:6" x14ac:dyDescent="0.3">
      <c r="A638" s="5" t="s">
        <v>54</v>
      </c>
      <c r="B638" s="5" t="s">
        <v>42</v>
      </c>
      <c r="C638" s="5" t="s">
        <v>41</v>
      </c>
      <c r="D638" s="5" t="s">
        <v>35</v>
      </c>
      <c r="E638" s="6">
        <v>21.59</v>
      </c>
      <c r="F638" s="6">
        <v>75.569999999999993</v>
      </c>
    </row>
    <row r="639" spans="1:6" x14ac:dyDescent="0.3">
      <c r="A639" s="5" t="s">
        <v>54</v>
      </c>
      <c r="B639" s="5" t="s">
        <v>42</v>
      </c>
      <c r="C639" s="5" t="s">
        <v>41</v>
      </c>
      <c r="D639" s="5" t="s">
        <v>36</v>
      </c>
      <c r="E639" s="6">
        <v>21.02</v>
      </c>
      <c r="F639" s="6">
        <v>67.989999999999995</v>
      </c>
    </row>
    <row r="640" spans="1:6" x14ac:dyDescent="0.3">
      <c r="A640" s="5" t="s">
        <v>54</v>
      </c>
      <c r="B640" s="5" t="s">
        <v>42</v>
      </c>
      <c r="C640" s="5" t="s">
        <v>41</v>
      </c>
      <c r="D640" s="5" t="s">
        <v>37</v>
      </c>
      <c r="E640" s="6">
        <v>21.58</v>
      </c>
      <c r="F640" s="6">
        <v>70.94</v>
      </c>
    </row>
    <row r="641" spans="1:6" x14ac:dyDescent="0.3">
      <c r="A641" s="5" t="s">
        <v>54</v>
      </c>
      <c r="B641" s="5" t="s">
        <v>42</v>
      </c>
      <c r="C641" s="5" t="s">
        <v>41</v>
      </c>
      <c r="D641" s="5" t="s">
        <v>38</v>
      </c>
      <c r="E641" s="6">
        <v>22.54</v>
      </c>
      <c r="F641" s="6">
        <v>77.55</v>
      </c>
    </row>
    <row r="642" spans="1:6" x14ac:dyDescent="0.3">
      <c r="A642" s="5" t="s">
        <v>54</v>
      </c>
      <c r="B642" s="5" t="s">
        <v>44</v>
      </c>
      <c r="C642" s="5" t="s">
        <v>41</v>
      </c>
      <c r="D642" s="5" t="s">
        <v>29</v>
      </c>
      <c r="E642" s="6">
        <v>2.68</v>
      </c>
      <c r="F642" s="6">
        <v>1.54</v>
      </c>
    </row>
    <row r="643" spans="1:6" x14ac:dyDescent="0.3">
      <c r="A643" s="5" t="s">
        <v>54</v>
      </c>
      <c r="B643" s="5" t="s">
        <v>44</v>
      </c>
      <c r="C643" s="5" t="s">
        <v>41</v>
      </c>
      <c r="D643" s="5" t="s">
        <v>30</v>
      </c>
      <c r="E643" s="6">
        <v>3.86</v>
      </c>
      <c r="F643" s="6">
        <v>4.3099999999999996</v>
      </c>
    </row>
    <row r="644" spans="1:6" x14ac:dyDescent="0.3">
      <c r="A644" s="5" t="s">
        <v>54</v>
      </c>
      <c r="B644" s="5" t="s">
        <v>44</v>
      </c>
      <c r="C644" s="5" t="s">
        <v>41</v>
      </c>
      <c r="D644" s="5" t="s">
        <v>31</v>
      </c>
      <c r="E644" s="6">
        <v>3.86</v>
      </c>
      <c r="F644" s="6">
        <v>4.6399999999999997</v>
      </c>
    </row>
    <row r="645" spans="1:6" x14ac:dyDescent="0.3">
      <c r="A645" s="5" t="s">
        <v>54</v>
      </c>
      <c r="B645" s="5" t="s">
        <v>44</v>
      </c>
      <c r="C645" s="5" t="s">
        <v>41</v>
      </c>
      <c r="D645" s="5" t="s">
        <v>32</v>
      </c>
      <c r="E645" s="6">
        <v>4.5</v>
      </c>
      <c r="F645" s="6">
        <v>5.2</v>
      </c>
    </row>
    <row r="646" spans="1:6" x14ac:dyDescent="0.3">
      <c r="A646" s="5" t="s">
        <v>54</v>
      </c>
      <c r="B646" s="5" t="s">
        <v>44</v>
      </c>
      <c r="C646" s="5" t="s">
        <v>41</v>
      </c>
      <c r="D646" s="5" t="s">
        <v>33</v>
      </c>
      <c r="E646" s="6">
        <v>4.05</v>
      </c>
      <c r="F646" s="6">
        <v>4.2699999999999996</v>
      </c>
    </row>
    <row r="647" spans="1:6" x14ac:dyDescent="0.3">
      <c r="A647" s="5" t="s">
        <v>54</v>
      </c>
      <c r="B647" s="5" t="s">
        <v>44</v>
      </c>
      <c r="C647" s="5" t="s">
        <v>41</v>
      </c>
      <c r="D647" s="5" t="s">
        <v>34</v>
      </c>
      <c r="E647" s="6">
        <v>3.97</v>
      </c>
      <c r="F647" s="6">
        <v>3.62</v>
      </c>
    </row>
    <row r="648" spans="1:6" x14ac:dyDescent="0.3">
      <c r="A648" s="5" t="s">
        <v>54</v>
      </c>
      <c r="B648" s="5" t="s">
        <v>44</v>
      </c>
      <c r="C648" s="5" t="s">
        <v>41</v>
      </c>
      <c r="D648" s="5" t="s">
        <v>35</v>
      </c>
      <c r="E648" s="6">
        <v>3.6</v>
      </c>
      <c r="F648" s="6">
        <v>2.93</v>
      </c>
    </row>
    <row r="649" spans="1:6" x14ac:dyDescent="0.3">
      <c r="A649" s="5" t="s">
        <v>54</v>
      </c>
      <c r="B649" s="5" t="s">
        <v>44</v>
      </c>
      <c r="C649" s="5" t="s">
        <v>41</v>
      </c>
      <c r="D649" s="5" t="s">
        <v>36</v>
      </c>
      <c r="E649" s="6">
        <v>3.55</v>
      </c>
      <c r="F649" s="6">
        <v>2.87</v>
      </c>
    </row>
    <row r="650" spans="1:6" x14ac:dyDescent="0.3">
      <c r="A650" s="5" t="s">
        <v>54</v>
      </c>
      <c r="B650" s="5" t="s">
        <v>44</v>
      </c>
      <c r="C650" s="5" t="s">
        <v>41</v>
      </c>
      <c r="D650" s="5" t="s">
        <v>37</v>
      </c>
      <c r="E650" s="6">
        <v>3.39</v>
      </c>
      <c r="F650" s="6">
        <v>4.0999999999999996</v>
      </c>
    </row>
    <row r="651" spans="1:6" x14ac:dyDescent="0.3">
      <c r="A651" s="5" t="s">
        <v>54</v>
      </c>
      <c r="B651" s="5" t="s">
        <v>44</v>
      </c>
      <c r="C651" s="5" t="s">
        <v>41</v>
      </c>
      <c r="D651" s="5" t="s">
        <v>38</v>
      </c>
      <c r="E651" s="6">
        <v>3.25</v>
      </c>
      <c r="F651" s="6">
        <v>2.37</v>
      </c>
    </row>
    <row r="652" spans="1:6" x14ac:dyDescent="0.3">
      <c r="A652" s="5" t="s">
        <v>54</v>
      </c>
      <c r="B652" s="5" t="s">
        <v>45</v>
      </c>
      <c r="C652" s="5" t="s">
        <v>41</v>
      </c>
      <c r="D652" s="5" t="s">
        <v>29</v>
      </c>
      <c r="E652" s="6">
        <v>0.5</v>
      </c>
      <c r="F652" s="6">
        <v>1.02</v>
      </c>
    </row>
    <row r="653" spans="1:6" x14ac:dyDescent="0.3">
      <c r="A653" s="5" t="s">
        <v>54</v>
      </c>
      <c r="B653" s="5" t="s">
        <v>45</v>
      </c>
      <c r="C653" s="5" t="s">
        <v>41</v>
      </c>
      <c r="D653" s="5" t="s">
        <v>30</v>
      </c>
      <c r="E653" s="6">
        <v>0.63</v>
      </c>
      <c r="F653" s="6">
        <v>1.44</v>
      </c>
    </row>
    <row r="654" spans="1:6" x14ac:dyDescent="0.3">
      <c r="A654" s="5" t="s">
        <v>54</v>
      </c>
      <c r="B654" s="5" t="s">
        <v>45</v>
      </c>
      <c r="C654" s="5" t="s">
        <v>41</v>
      </c>
      <c r="D654" s="5" t="s">
        <v>31</v>
      </c>
      <c r="E654" s="6">
        <v>0.47</v>
      </c>
      <c r="F654" s="6">
        <v>1.18</v>
      </c>
    </row>
    <row r="655" spans="1:6" x14ac:dyDescent="0.3">
      <c r="A655" s="5" t="s">
        <v>54</v>
      </c>
      <c r="B655" s="5" t="s">
        <v>45</v>
      </c>
      <c r="C655" s="5" t="s">
        <v>41</v>
      </c>
      <c r="D655" s="5" t="s">
        <v>32</v>
      </c>
      <c r="E655" s="6">
        <v>0.67</v>
      </c>
      <c r="F655" s="6">
        <v>1.85</v>
      </c>
    </row>
    <row r="656" spans="1:6" x14ac:dyDescent="0.3">
      <c r="A656" s="5" t="s">
        <v>54</v>
      </c>
      <c r="B656" s="5" t="s">
        <v>45</v>
      </c>
      <c r="C656" s="5" t="s">
        <v>41</v>
      </c>
      <c r="D656" s="5" t="s">
        <v>33</v>
      </c>
      <c r="E656" s="6">
        <v>0.67</v>
      </c>
      <c r="F656" s="6">
        <v>1.59</v>
      </c>
    </row>
    <row r="657" spans="1:6" x14ac:dyDescent="0.3">
      <c r="A657" s="5" t="s">
        <v>54</v>
      </c>
      <c r="B657" s="5" t="s">
        <v>45</v>
      </c>
      <c r="C657" s="5" t="s">
        <v>41</v>
      </c>
      <c r="D657" s="5" t="s">
        <v>34</v>
      </c>
      <c r="E657" s="6">
        <v>0.6</v>
      </c>
      <c r="F657" s="6">
        <v>1.46</v>
      </c>
    </row>
    <row r="658" spans="1:6" x14ac:dyDescent="0.3">
      <c r="A658" s="5" t="s">
        <v>54</v>
      </c>
      <c r="B658" s="5" t="s">
        <v>45</v>
      </c>
      <c r="C658" s="5" t="s">
        <v>41</v>
      </c>
      <c r="D658" s="5" t="s">
        <v>35</v>
      </c>
      <c r="E658" s="6">
        <v>0.45</v>
      </c>
      <c r="F658" s="6">
        <v>1.1299999999999999</v>
      </c>
    </row>
    <row r="659" spans="1:6" x14ac:dyDescent="0.3">
      <c r="A659" s="5" t="s">
        <v>54</v>
      </c>
      <c r="B659" s="5" t="s">
        <v>45</v>
      </c>
      <c r="C659" s="5" t="s">
        <v>41</v>
      </c>
      <c r="D659" s="5" t="s">
        <v>36</v>
      </c>
      <c r="E659" s="6">
        <v>0.48</v>
      </c>
      <c r="F659" s="6">
        <v>1.17</v>
      </c>
    </row>
    <row r="660" spans="1:6" x14ac:dyDescent="0.3">
      <c r="A660" s="5" t="s">
        <v>54</v>
      </c>
      <c r="B660" s="5" t="s">
        <v>45</v>
      </c>
      <c r="C660" s="5" t="s">
        <v>41</v>
      </c>
      <c r="D660" s="5" t="s">
        <v>37</v>
      </c>
      <c r="E660" s="6">
        <v>0.52</v>
      </c>
      <c r="F660" s="6">
        <v>1.24</v>
      </c>
    </row>
    <row r="661" spans="1:6" x14ac:dyDescent="0.3">
      <c r="A661" s="5" t="s">
        <v>54</v>
      </c>
      <c r="B661" s="5" t="s">
        <v>45</v>
      </c>
      <c r="C661" s="5" t="s">
        <v>41</v>
      </c>
      <c r="D661" s="5" t="s">
        <v>38</v>
      </c>
      <c r="E661" s="6">
        <v>0.28000000000000003</v>
      </c>
      <c r="F661" s="6">
        <v>0.57999999999999996</v>
      </c>
    </row>
    <row r="662" spans="1:6" x14ac:dyDescent="0.3">
      <c r="A662" s="5" t="s">
        <v>54</v>
      </c>
      <c r="B662" s="5" t="s">
        <v>46</v>
      </c>
      <c r="C662" s="5" t="s">
        <v>41</v>
      </c>
      <c r="D662" s="5" t="s">
        <v>29</v>
      </c>
      <c r="E662" s="6">
        <v>0.61</v>
      </c>
      <c r="F662" s="6">
        <v>1.1399999999999999</v>
      </c>
    </row>
    <row r="663" spans="1:6" x14ac:dyDescent="0.3">
      <c r="A663" s="5" t="s">
        <v>54</v>
      </c>
      <c r="B663" s="5" t="s">
        <v>46</v>
      </c>
      <c r="C663" s="5" t="s">
        <v>41</v>
      </c>
      <c r="D663" s="5" t="s">
        <v>30</v>
      </c>
      <c r="E663" s="6">
        <v>0.87</v>
      </c>
      <c r="F663" s="6">
        <v>3.21</v>
      </c>
    </row>
    <row r="664" spans="1:6" x14ac:dyDescent="0.3">
      <c r="A664" s="5" t="s">
        <v>54</v>
      </c>
      <c r="B664" s="5" t="s">
        <v>46</v>
      </c>
      <c r="C664" s="5" t="s">
        <v>41</v>
      </c>
      <c r="D664" s="5" t="s">
        <v>31</v>
      </c>
      <c r="E664" s="6">
        <v>0.79</v>
      </c>
      <c r="F664" s="6">
        <v>2.56</v>
      </c>
    </row>
    <row r="665" spans="1:6" x14ac:dyDescent="0.3">
      <c r="A665" s="5" t="s">
        <v>54</v>
      </c>
      <c r="B665" s="5" t="s">
        <v>46</v>
      </c>
      <c r="C665" s="5" t="s">
        <v>41</v>
      </c>
      <c r="D665" s="5" t="s">
        <v>32</v>
      </c>
      <c r="E665" s="6">
        <v>0.85</v>
      </c>
      <c r="F665" s="6">
        <v>2.75</v>
      </c>
    </row>
    <row r="666" spans="1:6" x14ac:dyDescent="0.3">
      <c r="A666" s="5" t="s">
        <v>54</v>
      </c>
      <c r="B666" s="5" t="s">
        <v>46</v>
      </c>
      <c r="C666" s="5" t="s">
        <v>41</v>
      </c>
      <c r="D666" s="5" t="s">
        <v>33</v>
      </c>
      <c r="E666" s="6">
        <v>0.83</v>
      </c>
      <c r="F666" s="6">
        <v>2.89</v>
      </c>
    </row>
    <row r="667" spans="1:6" x14ac:dyDescent="0.3">
      <c r="A667" s="5" t="s">
        <v>54</v>
      </c>
      <c r="B667" s="5" t="s">
        <v>46</v>
      </c>
      <c r="C667" s="5" t="s">
        <v>41</v>
      </c>
      <c r="D667" s="5" t="s">
        <v>34</v>
      </c>
      <c r="E667" s="6">
        <v>0.74</v>
      </c>
      <c r="F667" s="6">
        <v>2.27</v>
      </c>
    </row>
    <row r="668" spans="1:6" x14ac:dyDescent="0.3">
      <c r="A668" s="5" t="s">
        <v>54</v>
      </c>
      <c r="B668" s="5" t="s">
        <v>46</v>
      </c>
      <c r="C668" s="5" t="s">
        <v>41</v>
      </c>
      <c r="D668" s="5" t="s">
        <v>35</v>
      </c>
      <c r="E668" s="6">
        <v>0.7</v>
      </c>
      <c r="F668" s="6">
        <v>2.0699999999999998</v>
      </c>
    </row>
    <row r="669" spans="1:6" x14ac:dyDescent="0.3">
      <c r="A669" s="5" t="s">
        <v>54</v>
      </c>
      <c r="B669" s="5" t="s">
        <v>46</v>
      </c>
      <c r="C669" s="5" t="s">
        <v>41</v>
      </c>
      <c r="D669" s="5" t="s">
        <v>36</v>
      </c>
      <c r="E669" s="6">
        <v>0.71</v>
      </c>
      <c r="F669" s="6">
        <v>2.44</v>
      </c>
    </row>
    <row r="670" spans="1:6" x14ac:dyDescent="0.3">
      <c r="A670" s="5" t="s">
        <v>54</v>
      </c>
      <c r="B670" s="5" t="s">
        <v>46</v>
      </c>
      <c r="C670" s="5" t="s">
        <v>41</v>
      </c>
      <c r="D670" s="5" t="s">
        <v>37</v>
      </c>
      <c r="E670" s="6">
        <v>0.64</v>
      </c>
      <c r="F670" s="6">
        <v>2.42</v>
      </c>
    </row>
    <row r="671" spans="1:6" x14ac:dyDescent="0.3">
      <c r="A671" s="5" t="s">
        <v>54</v>
      </c>
      <c r="B671" s="5" t="s">
        <v>46</v>
      </c>
      <c r="C671" s="5" t="s">
        <v>41</v>
      </c>
      <c r="D671" s="5" t="s">
        <v>38</v>
      </c>
      <c r="E671" s="6">
        <v>0.65</v>
      </c>
      <c r="F671" s="6">
        <v>1.62</v>
      </c>
    </row>
    <row r="672" spans="1:6" x14ac:dyDescent="0.3">
      <c r="A672" s="5" t="s">
        <v>54</v>
      </c>
      <c r="B672" s="5" t="s">
        <v>47</v>
      </c>
      <c r="C672" s="5" t="s">
        <v>41</v>
      </c>
      <c r="D672" s="5" t="s">
        <v>29</v>
      </c>
      <c r="E672" s="6">
        <v>2.1800000000000002</v>
      </c>
      <c r="F672" s="6">
        <v>189.88</v>
      </c>
    </row>
    <row r="673" spans="1:6" x14ac:dyDescent="0.3">
      <c r="A673" s="5" t="s">
        <v>54</v>
      </c>
      <c r="B673" s="5" t="s">
        <v>47</v>
      </c>
      <c r="C673" s="5" t="s">
        <v>41</v>
      </c>
      <c r="D673" s="5" t="s">
        <v>30</v>
      </c>
      <c r="E673" s="6">
        <v>1.72</v>
      </c>
      <c r="F673" s="6">
        <v>171.54</v>
      </c>
    </row>
    <row r="674" spans="1:6" x14ac:dyDescent="0.3">
      <c r="A674" s="5" t="s">
        <v>54</v>
      </c>
      <c r="B674" s="5" t="s">
        <v>47</v>
      </c>
      <c r="C674" s="5" t="s">
        <v>41</v>
      </c>
      <c r="D674" s="5" t="s">
        <v>31</v>
      </c>
      <c r="E674" s="6">
        <v>1.66</v>
      </c>
      <c r="F674" s="6">
        <v>171.4</v>
      </c>
    </row>
    <row r="675" spans="1:6" x14ac:dyDescent="0.3">
      <c r="A675" s="5" t="s">
        <v>54</v>
      </c>
      <c r="B675" s="5" t="s">
        <v>47</v>
      </c>
      <c r="C675" s="5" t="s">
        <v>41</v>
      </c>
      <c r="D675" s="5" t="s">
        <v>32</v>
      </c>
      <c r="E675" s="6">
        <v>1.31</v>
      </c>
      <c r="F675" s="6">
        <v>141.19</v>
      </c>
    </row>
    <row r="676" spans="1:6" x14ac:dyDescent="0.3">
      <c r="A676" s="5" t="s">
        <v>54</v>
      </c>
      <c r="B676" s="5" t="s">
        <v>47</v>
      </c>
      <c r="C676" s="5" t="s">
        <v>41</v>
      </c>
      <c r="D676" s="5" t="s">
        <v>33</v>
      </c>
      <c r="E676" s="6">
        <v>1.28</v>
      </c>
      <c r="F676" s="6">
        <v>132.85</v>
      </c>
    </row>
    <row r="677" spans="1:6" x14ac:dyDescent="0.3">
      <c r="A677" s="5" t="s">
        <v>54</v>
      </c>
      <c r="B677" s="5" t="s">
        <v>47</v>
      </c>
      <c r="C677" s="5" t="s">
        <v>41</v>
      </c>
      <c r="D677" s="5" t="s">
        <v>34</v>
      </c>
      <c r="E677" s="6">
        <v>1.48</v>
      </c>
      <c r="F677" s="6">
        <v>161.66</v>
      </c>
    </row>
    <row r="678" spans="1:6" x14ac:dyDescent="0.3">
      <c r="A678" s="5" t="s">
        <v>54</v>
      </c>
      <c r="B678" s="5" t="s">
        <v>47</v>
      </c>
      <c r="C678" s="5" t="s">
        <v>41</v>
      </c>
      <c r="D678" s="5" t="s">
        <v>35</v>
      </c>
      <c r="E678" s="6">
        <v>1.59</v>
      </c>
      <c r="F678" s="6">
        <v>176.58</v>
      </c>
    </row>
    <row r="679" spans="1:6" x14ac:dyDescent="0.3">
      <c r="A679" s="5" t="s">
        <v>54</v>
      </c>
      <c r="B679" s="5" t="s">
        <v>47</v>
      </c>
      <c r="C679" s="5" t="s">
        <v>41</v>
      </c>
      <c r="D679" s="5" t="s">
        <v>36</v>
      </c>
      <c r="E679" s="6">
        <v>1.52</v>
      </c>
      <c r="F679" s="6">
        <v>159.27000000000001</v>
      </c>
    </row>
    <row r="680" spans="1:6" x14ac:dyDescent="0.3">
      <c r="A680" s="5" t="s">
        <v>54</v>
      </c>
      <c r="B680" s="5" t="s">
        <v>47</v>
      </c>
      <c r="C680" s="5" t="s">
        <v>41</v>
      </c>
      <c r="D680" s="5" t="s">
        <v>37</v>
      </c>
      <c r="E680" s="6">
        <v>1.31</v>
      </c>
      <c r="F680" s="6">
        <v>133.51</v>
      </c>
    </row>
    <row r="681" spans="1:6" x14ac:dyDescent="0.3">
      <c r="A681" s="5" t="s">
        <v>54</v>
      </c>
      <c r="B681" s="5" t="s">
        <v>47</v>
      </c>
      <c r="C681" s="5" t="s">
        <v>41</v>
      </c>
      <c r="D681" s="5" t="s">
        <v>38</v>
      </c>
      <c r="E681" s="6">
        <v>1.29</v>
      </c>
      <c r="F681" s="6">
        <v>140.44999999999999</v>
      </c>
    </row>
    <row r="682" spans="1:6" x14ac:dyDescent="0.3">
      <c r="A682" s="5" t="s">
        <v>55</v>
      </c>
      <c r="B682" s="5" t="s">
        <v>27</v>
      </c>
      <c r="C682" s="5" t="s">
        <v>28</v>
      </c>
      <c r="D682" s="5" t="s">
        <v>29</v>
      </c>
      <c r="E682" s="6">
        <v>6.36</v>
      </c>
      <c r="F682" s="6">
        <v>17.559999999999999</v>
      </c>
    </row>
    <row r="683" spans="1:6" x14ac:dyDescent="0.3">
      <c r="A683" s="5" t="s">
        <v>55</v>
      </c>
      <c r="B683" s="5" t="s">
        <v>27</v>
      </c>
      <c r="C683" s="5" t="s">
        <v>28</v>
      </c>
      <c r="D683" s="5" t="s">
        <v>30</v>
      </c>
      <c r="E683" s="6">
        <v>4.63</v>
      </c>
      <c r="F683" s="6">
        <v>15.97</v>
      </c>
    </row>
    <row r="684" spans="1:6" x14ac:dyDescent="0.3">
      <c r="A684" s="5" t="s">
        <v>55</v>
      </c>
      <c r="B684" s="5" t="s">
        <v>27</v>
      </c>
      <c r="C684" s="5" t="s">
        <v>28</v>
      </c>
      <c r="D684" s="5" t="s">
        <v>31</v>
      </c>
      <c r="E684" s="6">
        <v>4.26</v>
      </c>
      <c r="F684" s="6">
        <v>13.23</v>
      </c>
    </row>
    <row r="685" spans="1:6" x14ac:dyDescent="0.3">
      <c r="A685" s="5" t="s">
        <v>55</v>
      </c>
      <c r="B685" s="5" t="s">
        <v>27</v>
      </c>
      <c r="C685" s="5" t="s">
        <v>28</v>
      </c>
      <c r="D685" s="5" t="s">
        <v>32</v>
      </c>
      <c r="E685" s="6">
        <v>3.91</v>
      </c>
      <c r="F685" s="6">
        <v>18.940000000000001</v>
      </c>
    </row>
    <row r="686" spans="1:6" x14ac:dyDescent="0.3">
      <c r="A686" s="5" t="s">
        <v>55</v>
      </c>
      <c r="B686" s="5" t="s">
        <v>27</v>
      </c>
      <c r="C686" s="5" t="s">
        <v>28</v>
      </c>
      <c r="D686" s="5" t="s">
        <v>33</v>
      </c>
      <c r="E686" s="6">
        <v>0.86</v>
      </c>
      <c r="F686" s="6">
        <v>4</v>
      </c>
    </row>
    <row r="687" spans="1:6" x14ac:dyDescent="0.3">
      <c r="A687" s="5" t="s">
        <v>55</v>
      </c>
      <c r="B687" s="5" t="s">
        <v>27</v>
      </c>
      <c r="C687" s="5" t="s">
        <v>28</v>
      </c>
      <c r="D687" s="5" t="s">
        <v>34</v>
      </c>
      <c r="E687" s="6">
        <v>2.89</v>
      </c>
      <c r="F687" s="6">
        <v>13.17</v>
      </c>
    </row>
    <row r="688" spans="1:6" x14ac:dyDescent="0.3">
      <c r="A688" s="5" t="s">
        <v>55</v>
      </c>
      <c r="B688" s="5" t="s">
        <v>27</v>
      </c>
      <c r="C688" s="5" t="s">
        <v>28</v>
      </c>
      <c r="D688" s="5" t="s">
        <v>35</v>
      </c>
      <c r="E688" s="6">
        <v>2.5099999999999998</v>
      </c>
      <c r="F688" s="6">
        <v>11.43</v>
      </c>
    </row>
    <row r="689" spans="1:6" x14ac:dyDescent="0.3">
      <c r="A689" s="5" t="s">
        <v>55</v>
      </c>
      <c r="B689" s="5" t="s">
        <v>27</v>
      </c>
      <c r="C689" s="5" t="s">
        <v>28</v>
      </c>
      <c r="D689" s="5" t="s">
        <v>36</v>
      </c>
      <c r="E689" s="6">
        <v>2.16</v>
      </c>
      <c r="F689" s="6">
        <v>9.4</v>
      </c>
    </row>
    <row r="690" spans="1:6" x14ac:dyDescent="0.3">
      <c r="A690" s="5" t="s">
        <v>55</v>
      </c>
      <c r="B690" s="5" t="s">
        <v>27</v>
      </c>
      <c r="C690" s="5" t="s">
        <v>28</v>
      </c>
      <c r="D690" s="5" t="s">
        <v>37</v>
      </c>
      <c r="E690" s="6">
        <v>2.12</v>
      </c>
      <c r="F690" s="6">
        <v>10.210000000000001</v>
      </c>
    </row>
    <row r="691" spans="1:6" x14ac:dyDescent="0.3">
      <c r="A691" s="5" t="s">
        <v>55</v>
      </c>
      <c r="B691" s="5" t="s">
        <v>27</v>
      </c>
      <c r="C691" s="5" t="s">
        <v>28</v>
      </c>
      <c r="D691" s="5" t="s">
        <v>38</v>
      </c>
      <c r="E691" s="6">
        <v>2.8</v>
      </c>
      <c r="F691" s="6">
        <v>13.24</v>
      </c>
    </row>
    <row r="692" spans="1:6" x14ac:dyDescent="0.3">
      <c r="A692" s="5" t="s">
        <v>55</v>
      </c>
      <c r="B692" s="5" t="s">
        <v>27</v>
      </c>
      <c r="C692" s="5" t="s">
        <v>39</v>
      </c>
      <c r="D692" s="5" t="s">
        <v>29</v>
      </c>
      <c r="E692" s="6">
        <v>1.66</v>
      </c>
      <c r="F692" s="6">
        <v>9.07</v>
      </c>
    </row>
    <row r="693" spans="1:6" x14ac:dyDescent="0.3">
      <c r="A693" s="5" t="s">
        <v>55</v>
      </c>
      <c r="B693" s="5" t="s">
        <v>27</v>
      </c>
      <c r="C693" s="5" t="s">
        <v>39</v>
      </c>
      <c r="D693" s="5" t="s">
        <v>30</v>
      </c>
      <c r="E693" s="6">
        <v>1.67</v>
      </c>
      <c r="F693" s="6">
        <v>9.58</v>
      </c>
    </row>
    <row r="694" spans="1:6" x14ac:dyDescent="0.3">
      <c r="A694" s="5" t="s">
        <v>55</v>
      </c>
      <c r="B694" s="5" t="s">
        <v>27</v>
      </c>
      <c r="C694" s="5" t="s">
        <v>39</v>
      </c>
      <c r="D694" s="5" t="s">
        <v>31</v>
      </c>
      <c r="E694" s="6">
        <v>1.17</v>
      </c>
      <c r="F694" s="6">
        <v>7.61</v>
      </c>
    </row>
    <row r="695" spans="1:6" x14ac:dyDescent="0.3">
      <c r="A695" s="5" t="s">
        <v>55</v>
      </c>
      <c r="B695" s="5" t="s">
        <v>27</v>
      </c>
      <c r="C695" s="5" t="s">
        <v>39</v>
      </c>
      <c r="D695" s="5" t="s">
        <v>32</v>
      </c>
      <c r="E695" s="6">
        <v>1.7</v>
      </c>
      <c r="F695" s="6">
        <v>11.05</v>
      </c>
    </row>
    <row r="696" spans="1:6" x14ac:dyDescent="0.3">
      <c r="A696" s="5" t="s">
        <v>55</v>
      </c>
      <c r="B696" s="5" t="s">
        <v>27</v>
      </c>
      <c r="C696" s="5" t="s">
        <v>39</v>
      </c>
      <c r="D696" s="5" t="s">
        <v>33</v>
      </c>
      <c r="E696" s="6">
        <v>1.73</v>
      </c>
      <c r="F696" s="6">
        <v>13.57</v>
      </c>
    </row>
    <row r="697" spans="1:6" x14ac:dyDescent="0.3">
      <c r="A697" s="5" t="s">
        <v>55</v>
      </c>
      <c r="B697" s="5" t="s">
        <v>27</v>
      </c>
      <c r="C697" s="5" t="s">
        <v>39</v>
      </c>
      <c r="D697" s="5" t="s">
        <v>34</v>
      </c>
      <c r="E697" s="6">
        <v>1.23</v>
      </c>
      <c r="F697" s="6">
        <v>9.09</v>
      </c>
    </row>
    <row r="698" spans="1:6" x14ac:dyDescent="0.3">
      <c r="A698" s="5" t="s">
        <v>55</v>
      </c>
      <c r="B698" s="5" t="s">
        <v>27</v>
      </c>
      <c r="C698" s="5" t="s">
        <v>39</v>
      </c>
      <c r="D698" s="5" t="s">
        <v>35</v>
      </c>
      <c r="E698" s="6">
        <v>2.64</v>
      </c>
      <c r="F698" s="6">
        <v>17.190000000000001</v>
      </c>
    </row>
    <row r="699" spans="1:6" x14ac:dyDescent="0.3">
      <c r="A699" s="5" t="s">
        <v>55</v>
      </c>
      <c r="B699" s="5" t="s">
        <v>27</v>
      </c>
      <c r="C699" s="5" t="s">
        <v>39</v>
      </c>
      <c r="D699" s="5" t="s">
        <v>36</v>
      </c>
      <c r="E699" s="6">
        <v>2.74</v>
      </c>
      <c r="F699" s="6">
        <v>18.39</v>
      </c>
    </row>
    <row r="700" spans="1:6" x14ac:dyDescent="0.3">
      <c r="A700" s="5" t="s">
        <v>55</v>
      </c>
      <c r="B700" s="5" t="s">
        <v>27</v>
      </c>
      <c r="C700" s="5" t="s">
        <v>39</v>
      </c>
      <c r="D700" s="5" t="s">
        <v>37</v>
      </c>
      <c r="E700" s="6">
        <v>3.67</v>
      </c>
      <c r="F700" s="6">
        <v>23.71</v>
      </c>
    </row>
    <row r="701" spans="1:6" x14ac:dyDescent="0.3">
      <c r="A701" s="5" t="s">
        <v>55</v>
      </c>
      <c r="B701" s="5" t="s">
        <v>27</v>
      </c>
      <c r="C701" s="5" t="s">
        <v>39</v>
      </c>
      <c r="D701" s="5" t="s">
        <v>38</v>
      </c>
      <c r="E701" s="6">
        <v>6.53</v>
      </c>
      <c r="F701" s="6">
        <v>41.24</v>
      </c>
    </row>
    <row r="702" spans="1:6" x14ac:dyDescent="0.3">
      <c r="A702" s="5" t="s">
        <v>55</v>
      </c>
      <c r="B702" s="5" t="s">
        <v>27</v>
      </c>
      <c r="C702" s="5" t="s">
        <v>41</v>
      </c>
      <c r="D702" s="5" t="s">
        <v>29</v>
      </c>
      <c r="E702" s="6">
        <v>8.02</v>
      </c>
      <c r="F702" s="6">
        <v>26.63</v>
      </c>
    </row>
    <row r="703" spans="1:6" x14ac:dyDescent="0.3">
      <c r="A703" s="5" t="s">
        <v>55</v>
      </c>
      <c r="B703" s="5" t="s">
        <v>27</v>
      </c>
      <c r="C703" s="5" t="s">
        <v>41</v>
      </c>
      <c r="D703" s="5" t="s">
        <v>30</v>
      </c>
      <c r="E703" s="6">
        <v>6.3</v>
      </c>
      <c r="F703" s="6">
        <v>25.56</v>
      </c>
    </row>
    <row r="704" spans="1:6" x14ac:dyDescent="0.3">
      <c r="A704" s="5" t="s">
        <v>55</v>
      </c>
      <c r="B704" s="5" t="s">
        <v>27</v>
      </c>
      <c r="C704" s="5" t="s">
        <v>41</v>
      </c>
      <c r="D704" s="5" t="s">
        <v>31</v>
      </c>
      <c r="E704" s="6">
        <v>5.43</v>
      </c>
      <c r="F704" s="6">
        <v>20.83</v>
      </c>
    </row>
    <row r="705" spans="1:6" x14ac:dyDescent="0.3">
      <c r="A705" s="5" t="s">
        <v>55</v>
      </c>
      <c r="B705" s="5" t="s">
        <v>27</v>
      </c>
      <c r="C705" s="5" t="s">
        <v>41</v>
      </c>
      <c r="D705" s="5" t="s">
        <v>32</v>
      </c>
      <c r="E705" s="6">
        <v>5.61</v>
      </c>
      <c r="F705" s="6">
        <v>30</v>
      </c>
    </row>
    <row r="706" spans="1:6" x14ac:dyDescent="0.3">
      <c r="A706" s="5" t="s">
        <v>55</v>
      </c>
      <c r="B706" s="5" t="s">
        <v>27</v>
      </c>
      <c r="C706" s="5" t="s">
        <v>41</v>
      </c>
      <c r="D706" s="5" t="s">
        <v>33</v>
      </c>
      <c r="E706" s="6">
        <v>2.59</v>
      </c>
      <c r="F706" s="6">
        <v>17.57</v>
      </c>
    </row>
    <row r="707" spans="1:6" x14ac:dyDescent="0.3">
      <c r="A707" s="5" t="s">
        <v>55</v>
      </c>
      <c r="B707" s="5" t="s">
        <v>27</v>
      </c>
      <c r="C707" s="5" t="s">
        <v>41</v>
      </c>
      <c r="D707" s="5" t="s">
        <v>34</v>
      </c>
      <c r="E707" s="6">
        <v>4.12</v>
      </c>
      <c r="F707" s="6">
        <v>22.26</v>
      </c>
    </row>
    <row r="708" spans="1:6" x14ac:dyDescent="0.3">
      <c r="A708" s="5" t="s">
        <v>55</v>
      </c>
      <c r="B708" s="5" t="s">
        <v>27</v>
      </c>
      <c r="C708" s="5" t="s">
        <v>41</v>
      </c>
      <c r="D708" s="5" t="s">
        <v>35</v>
      </c>
      <c r="E708" s="6">
        <v>5.15</v>
      </c>
      <c r="F708" s="6">
        <v>28.62</v>
      </c>
    </row>
    <row r="709" spans="1:6" x14ac:dyDescent="0.3">
      <c r="A709" s="5" t="s">
        <v>55</v>
      </c>
      <c r="B709" s="5" t="s">
        <v>27</v>
      </c>
      <c r="C709" s="5" t="s">
        <v>41</v>
      </c>
      <c r="D709" s="5" t="s">
        <v>36</v>
      </c>
      <c r="E709" s="6">
        <v>4.9000000000000004</v>
      </c>
      <c r="F709" s="6">
        <v>27.79</v>
      </c>
    </row>
    <row r="710" spans="1:6" x14ac:dyDescent="0.3">
      <c r="A710" s="5" t="s">
        <v>55</v>
      </c>
      <c r="B710" s="5" t="s">
        <v>27</v>
      </c>
      <c r="C710" s="5" t="s">
        <v>41</v>
      </c>
      <c r="D710" s="5" t="s">
        <v>37</v>
      </c>
      <c r="E710" s="6">
        <v>5.79</v>
      </c>
      <c r="F710" s="6">
        <v>33.92</v>
      </c>
    </row>
    <row r="711" spans="1:6" x14ac:dyDescent="0.3">
      <c r="A711" s="5" t="s">
        <v>55</v>
      </c>
      <c r="B711" s="5" t="s">
        <v>27</v>
      </c>
      <c r="C711" s="5" t="s">
        <v>41</v>
      </c>
      <c r="D711" s="5" t="s">
        <v>38</v>
      </c>
      <c r="E711" s="6">
        <v>9.33</v>
      </c>
      <c r="F711" s="6">
        <v>54.47</v>
      </c>
    </row>
    <row r="712" spans="1:6" x14ac:dyDescent="0.3">
      <c r="A712" s="5" t="s">
        <v>55</v>
      </c>
      <c r="B712" s="5" t="s">
        <v>42</v>
      </c>
      <c r="C712" s="5" t="s">
        <v>41</v>
      </c>
      <c r="D712" s="5" t="s">
        <v>29</v>
      </c>
      <c r="E712" s="6">
        <v>16.82</v>
      </c>
      <c r="F712" s="6">
        <v>51.73</v>
      </c>
    </row>
    <row r="713" spans="1:6" x14ac:dyDescent="0.3">
      <c r="A713" s="5" t="s">
        <v>55</v>
      </c>
      <c r="B713" s="5" t="s">
        <v>42</v>
      </c>
      <c r="C713" s="5" t="s">
        <v>41</v>
      </c>
      <c r="D713" s="5" t="s">
        <v>30</v>
      </c>
      <c r="E713" s="6">
        <v>19.62</v>
      </c>
      <c r="F713" s="6">
        <v>62.62</v>
      </c>
    </row>
    <row r="714" spans="1:6" x14ac:dyDescent="0.3">
      <c r="A714" s="5" t="s">
        <v>55</v>
      </c>
      <c r="B714" s="5" t="s">
        <v>42</v>
      </c>
      <c r="C714" s="5" t="s">
        <v>41</v>
      </c>
      <c r="D714" s="5" t="s">
        <v>31</v>
      </c>
      <c r="E714" s="6">
        <v>19.32</v>
      </c>
      <c r="F714" s="6">
        <v>66.7</v>
      </c>
    </row>
    <row r="715" spans="1:6" x14ac:dyDescent="0.3">
      <c r="A715" s="5" t="s">
        <v>55</v>
      </c>
      <c r="B715" s="5" t="s">
        <v>42</v>
      </c>
      <c r="C715" s="5" t="s">
        <v>41</v>
      </c>
      <c r="D715" s="5" t="s">
        <v>32</v>
      </c>
      <c r="E715" s="6">
        <v>20.11</v>
      </c>
      <c r="F715" s="6">
        <v>74.28</v>
      </c>
    </row>
    <row r="716" spans="1:6" x14ac:dyDescent="0.3">
      <c r="A716" s="5" t="s">
        <v>55</v>
      </c>
      <c r="B716" s="5" t="s">
        <v>42</v>
      </c>
      <c r="C716" s="5" t="s">
        <v>41</v>
      </c>
      <c r="D716" s="5" t="s">
        <v>33</v>
      </c>
      <c r="E716" s="6">
        <v>31.86</v>
      </c>
      <c r="F716" s="6">
        <v>102.17</v>
      </c>
    </row>
    <row r="717" spans="1:6" x14ac:dyDescent="0.3">
      <c r="A717" s="5" t="s">
        <v>55</v>
      </c>
      <c r="B717" s="5" t="s">
        <v>42</v>
      </c>
      <c r="C717" s="5" t="s">
        <v>41</v>
      </c>
      <c r="D717" s="5" t="s">
        <v>34</v>
      </c>
      <c r="E717" s="6">
        <v>36.549999999999997</v>
      </c>
      <c r="F717" s="6">
        <v>124.1</v>
      </c>
    </row>
    <row r="718" spans="1:6" x14ac:dyDescent="0.3">
      <c r="A718" s="5" t="s">
        <v>55</v>
      </c>
      <c r="B718" s="5" t="s">
        <v>42</v>
      </c>
      <c r="C718" s="5" t="s">
        <v>41</v>
      </c>
      <c r="D718" s="5" t="s">
        <v>35</v>
      </c>
      <c r="E718" s="6">
        <v>46.62</v>
      </c>
      <c r="F718" s="6">
        <v>158.77000000000001</v>
      </c>
    </row>
    <row r="719" spans="1:6" x14ac:dyDescent="0.3">
      <c r="A719" s="5" t="s">
        <v>55</v>
      </c>
      <c r="B719" s="5" t="s">
        <v>42</v>
      </c>
      <c r="C719" s="5" t="s">
        <v>41</v>
      </c>
      <c r="D719" s="5" t="s">
        <v>36</v>
      </c>
      <c r="E719" s="6">
        <v>46.85</v>
      </c>
      <c r="F719" s="6">
        <v>168.74</v>
      </c>
    </row>
    <row r="720" spans="1:6" x14ac:dyDescent="0.3">
      <c r="A720" s="5" t="s">
        <v>55</v>
      </c>
      <c r="B720" s="5" t="s">
        <v>42</v>
      </c>
      <c r="C720" s="5" t="s">
        <v>41</v>
      </c>
      <c r="D720" s="5" t="s">
        <v>37</v>
      </c>
      <c r="E720" s="6">
        <v>48.09</v>
      </c>
      <c r="F720" s="6">
        <v>174.46</v>
      </c>
    </row>
    <row r="721" spans="1:6" x14ac:dyDescent="0.3">
      <c r="A721" s="5" t="s">
        <v>55</v>
      </c>
      <c r="B721" s="5" t="s">
        <v>42</v>
      </c>
      <c r="C721" s="5" t="s">
        <v>41</v>
      </c>
      <c r="D721" s="5" t="s">
        <v>38</v>
      </c>
      <c r="E721" s="6">
        <v>53.42</v>
      </c>
      <c r="F721" s="6">
        <v>185.29</v>
      </c>
    </row>
    <row r="722" spans="1:6" x14ac:dyDescent="0.3">
      <c r="A722" s="5" t="s">
        <v>55</v>
      </c>
      <c r="B722" s="5" t="s">
        <v>43</v>
      </c>
      <c r="C722" s="5" t="s">
        <v>41</v>
      </c>
      <c r="D722" s="5" t="s">
        <v>29</v>
      </c>
      <c r="E722" s="6">
        <v>0.05</v>
      </c>
      <c r="F722" s="6">
        <v>7.0000000000000007E-2</v>
      </c>
    </row>
    <row r="723" spans="1:6" x14ac:dyDescent="0.3">
      <c r="A723" s="5" t="s">
        <v>55</v>
      </c>
      <c r="B723" s="5" t="s">
        <v>43</v>
      </c>
      <c r="C723" s="5" t="s">
        <v>41</v>
      </c>
      <c r="D723" s="5" t="s">
        <v>30</v>
      </c>
      <c r="E723" s="6">
        <v>0.04</v>
      </c>
      <c r="F723" s="6">
        <v>0.06</v>
      </c>
    </row>
    <row r="724" spans="1:6" x14ac:dyDescent="0.3">
      <c r="A724" s="5" t="s">
        <v>55</v>
      </c>
      <c r="B724" s="5" t="s">
        <v>43</v>
      </c>
      <c r="C724" s="5" t="s">
        <v>41</v>
      </c>
      <c r="D724" s="5" t="s">
        <v>31</v>
      </c>
      <c r="E724" s="6">
        <v>0.05</v>
      </c>
      <c r="F724" s="6">
        <v>0.09</v>
      </c>
    </row>
    <row r="725" spans="1:6" x14ac:dyDescent="0.3">
      <c r="A725" s="5" t="s">
        <v>55</v>
      </c>
      <c r="B725" s="5" t="s">
        <v>43</v>
      </c>
      <c r="C725" s="5" t="s">
        <v>41</v>
      </c>
      <c r="D725" s="5" t="s">
        <v>32</v>
      </c>
      <c r="E725" s="6">
        <v>0.05</v>
      </c>
      <c r="F725" s="6">
        <v>0.09</v>
      </c>
    </row>
    <row r="726" spans="1:6" x14ac:dyDescent="0.3">
      <c r="A726" s="5" t="s">
        <v>55</v>
      </c>
      <c r="B726" s="5" t="s">
        <v>43</v>
      </c>
      <c r="C726" s="5" t="s">
        <v>41</v>
      </c>
      <c r="D726" s="5" t="s">
        <v>33</v>
      </c>
      <c r="E726" s="6">
        <v>0.06</v>
      </c>
      <c r="F726" s="6">
        <v>0.16</v>
      </c>
    </row>
    <row r="727" spans="1:6" x14ac:dyDescent="0.3">
      <c r="A727" s="5" t="s">
        <v>55</v>
      </c>
      <c r="B727" s="5" t="s">
        <v>43</v>
      </c>
      <c r="C727" s="5" t="s">
        <v>41</v>
      </c>
      <c r="D727" s="5" t="s">
        <v>34</v>
      </c>
      <c r="E727" s="6">
        <v>7.0000000000000007E-2</v>
      </c>
      <c r="F727" s="6">
        <v>0.14000000000000001</v>
      </c>
    </row>
    <row r="728" spans="1:6" x14ac:dyDescent="0.3">
      <c r="A728" s="5" t="s">
        <v>55</v>
      </c>
      <c r="B728" s="5" t="s">
        <v>43</v>
      </c>
      <c r="C728" s="5" t="s">
        <v>41</v>
      </c>
      <c r="D728" s="5" t="s">
        <v>35</v>
      </c>
      <c r="E728" s="6">
        <v>0.03</v>
      </c>
      <c r="F728" s="6">
        <v>0.06</v>
      </c>
    </row>
    <row r="729" spans="1:6" x14ac:dyDescent="0.3">
      <c r="A729" s="5" t="s">
        <v>55</v>
      </c>
      <c r="B729" s="5" t="s">
        <v>43</v>
      </c>
      <c r="C729" s="5" t="s">
        <v>41</v>
      </c>
      <c r="D729" s="5" t="s">
        <v>36</v>
      </c>
      <c r="E729" s="6">
        <v>0.04</v>
      </c>
      <c r="F729" s="6">
        <v>7.0000000000000007E-2</v>
      </c>
    </row>
    <row r="730" spans="1:6" x14ac:dyDescent="0.3">
      <c r="A730" s="5" t="s">
        <v>55</v>
      </c>
      <c r="B730" s="5" t="s">
        <v>43</v>
      </c>
      <c r="C730" s="5" t="s">
        <v>41</v>
      </c>
      <c r="D730" s="5" t="s">
        <v>37</v>
      </c>
      <c r="E730" s="6">
        <v>0.02</v>
      </c>
      <c r="F730" s="6">
        <v>0.05</v>
      </c>
    </row>
    <row r="731" spans="1:6" x14ac:dyDescent="0.3">
      <c r="A731" s="5" t="s">
        <v>55</v>
      </c>
      <c r="B731" s="5" t="s">
        <v>43</v>
      </c>
      <c r="C731" s="5" t="s">
        <v>41</v>
      </c>
      <c r="D731" s="5" t="s">
        <v>38</v>
      </c>
      <c r="E731" s="6">
        <v>0.03</v>
      </c>
      <c r="F731" s="6">
        <v>7.0000000000000007E-2</v>
      </c>
    </row>
    <row r="732" spans="1:6" x14ac:dyDescent="0.3">
      <c r="A732" s="5" t="s">
        <v>55</v>
      </c>
      <c r="B732" s="5" t="s">
        <v>44</v>
      </c>
      <c r="C732" s="5" t="s">
        <v>41</v>
      </c>
      <c r="D732" s="5" t="s">
        <v>29</v>
      </c>
      <c r="E732" s="6">
        <v>0.9</v>
      </c>
      <c r="F732" s="6">
        <v>0.88</v>
      </c>
    </row>
    <row r="733" spans="1:6" x14ac:dyDescent="0.3">
      <c r="A733" s="5" t="s">
        <v>55</v>
      </c>
      <c r="B733" s="5" t="s">
        <v>44</v>
      </c>
      <c r="C733" s="5" t="s">
        <v>41</v>
      </c>
      <c r="D733" s="5" t="s">
        <v>30</v>
      </c>
      <c r="E733" s="6">
        <v>0.67</v>
      </c>
      <c r="F733" s="6">
        <v>0.73</v>
      </c>
    </row>
    <row r="734" spans="1:6" x14ac:dyDescent="0.3">
      <c r="A734" s="5" t="s">
        <v>55</v>
      </c>
      <c r="B734" s="5" t="s">
        <v>44</v>
      </c>
      <c r="C734" s="5" t="s">
        <v>41</v>
      </c>
      <c r="D734" s="5" t="s">
        <v>31</v>
      </c>
      <c r="E734" s="6">
        <v>0.56000000000000005</v>
      </c>
      <c r="F734" s="6">
        <v>0.67</v>
      </c>
    </row>
    <row r="735" spans="1:6" x14ac:dyDescent="0.3">
      <c r="A735" s="5" t="s">
        <v>55</v>
      </c>
      <c r="B735" s="5" t="s">
        <v>44</v>
      </c>
      <c r="C735" s="5" t="s">
        <v>41</v>
      </c>
      <c r="D735" s="5" t="s">
        <v>32</v>
      </c>
      <c r="E735" s="6">
        <v>0.88</v>
      </c>
      <c r="F735" s="6">
        <v>1.24</v>
      </c>
    </row>
    <row r="736" spans="1:6" x14ac:dyDescent="0.3">
      <c r="A736" s="5" t="s">
        <v>55</v>
      </c>
      <c r="B736" s="5" t="s">
        <v>44</v>
      </c>
      <c r="C736" s="5" t="s">
        <v>41</v>
      </c>
      <c r="D736" s="5" t="s">
        <v>33</v>
      </c>
      <c r="E736" s="6">
        <v>0.91</v>
      </c>
      <c r="F736" s="6">
        <v>1.56</v>
      </c>
    </row>
    <row r="737" spans="1:6" x14ac:dyDescent="0.3">
      <c r="A737" s="5" t="s">
        <v>55</v>
      </c>
      <c r="B737" s="5" t="s">
        <v>44</v>
      </c>
      <c r="C737" s="5" t="s">
        <v>41</v>
      </c>
      <c r="D737" s="5" t="s">
        <v>34</v>
      </c>
      <c r="E737" s="6">
        <v>0.69</v>
      </c>
      <c r="F737" s="6">
        <v>1.17</v>
      </c>
    </row>
    <row r="738" spans="1:6" x14ac:dyDescent="0.3">
      <c r="A738" s="5" t="s">
        <v>55</v>
      </c>
      <c r="B738" s="5" t="s">
        <v>44</v>
      </c>
      <c r="C738" s="5" t="s">
        <v>41</v>
      </c>
      <c r="D738" s="5" t="s">
        <v>35</v>
      </c>
      <c r="E738" s="6">
        <v>0.68</v>
      </c>
      <c r="F738" s="6">
        <v>1.2</v>
      </c>
    </row>
    <row r="739" spans="1:6" x14ac:dyDescent="0.3">
      <c r="A739" s="5" t="s">
        <v>55</v>
      </c>
      <c r="B739" s="5" t="s">
        <v>44</v>
      </c>
      <c r="C739" s="5" t="s">
        <v>41</v>
      </c>
      <c r="D739" s="5" t="s">
        <v>36</v>
      </c>
      <c r="E739" s="6">
        <v>1.0900000000000001</v>
      </c>
      <c r="F739" s="6">
        <v>2.39</v>
      </c>
    </row>
    <row r="740" spans="1:6" x14ac:dyDescent="0.3">
      <c r="A740" s="5" t="s">
        <v>55</v>
      </c>
      <c r="B740" s="5" t="s">
        <v>44</v>
      </c>
      <c r="C740" s="5" t="s">
        <v>41</v>
      </c>
      <c r="D740" s="5" t="s">
        <v>37</v>
      </c>
      <c r="E740" s="6">
        <v>1.67</v>
      </c>
      <c r="F740" s="6">
        <v>3.85</v>
      </c>
    </row>
    <row r="741" spans="1:6" x14ac:dyDescent="0.3">
      <c r="A741" s="5" t="s">
        <v>55</v>
      </c>
      <c r="B741" s="5" t="s">
        <v>44</v>
      </c>
      <c r="C741" s="5" t="s">
        <v>41</v>
      </c>
      <c r="D741" s="5" t="s">
        <v>38</v>
      </c>
      <c r="E741" s="6">
        <v>1.73</v>
      </c>
      <c r="F741" s="6">
        <v>4.12</v>
      </c>
    </row>
    <row r="742" spans="1:6" x14ac:dyDescent="0.3">
      <c r="A742" s="5" t="s">
        <v>55</v>
      </c>
      <c r="B742" s="5" t="s">
        <v>45</v>
      </c>
      <c r="C742" s="5" t="s">
        <v>41</v>
      </c>
      <c r="D742" s="5" t="s">
        <v>29</v>
      </c>
      <c r="E742" s="6">
        <v>0.17</v>
      </c>
      <c r="F742" s="6">
        <v>0.15</v>
      </c>
    </row>
    <row r="743" spans="1:6" x14ac:dyDescent="0.3">
      <c r="A743" s="5" t="s">
        <v>55</v>
      </c>
      <c r="B743" s="5" t="s">
        <v>45</v>
      </c>
      <c r="C743" s="5" t="s">
        <v>41</v>
      </c>
      <c r="D743" s="5" t="s">
        <v>30</v>
      </c>
      <c r="E743" s="6">
        <v>0.09</v>
      </c>
      <c r="F743" s="6">
        <v>0.1</v>
      </c>
    </row>
    <row r="744" spans="1:6" x14ac:dyDescent="0.3">
      <c r="A744" s="5" t="s">
        <v>55</v>
      </c>
      <c r="B744" s="5" t="s">
        <v>45</v>
      </c>
      <c r="C744" s="5" t="s">
        <v>41</v>
      </c>
      <c r="D744" s="5" t="s">
        <v>31</v>
      </c>
      <c r="E744" s="6">
        <v>0.08</v>
      </c>
      <c r="F744" s="6">
        <v>0.04</v>
      </c>
    </row>
    <row r="745" spans="1:6" x14ac:dyDescent="0.3">
      <c r="A745" s="5" t="s">
        <v>55</v>
      </c>
      <c r="B745" s="5" t="s">
        <v>45</v>
      </c>
      <c r="C745" s="5" t="s">
        <v>41</v>
      </c>
      <c r="D745" s="5" t="s">
        <v>32</v>
      </c>
      <c r="E745" s="6">
        <v>0.09</v>
      </c>
      <c r="F745" s="6">
        <v>0.1</v>
      </c>
    </row>
    <row r="746" spans="1:6" x14ac:dyDescent="0.3">
      <c r="A746" s="5" t="s">
        <v>55</v>
      </c>
      <c r="B746" s="5" t="s">
        <v>45</v>
      </c>
      <c r="C746" s="5" t="s">
        <v>41</v>
      </c>
      <c r="D746" s="5" t="s">
        <v>33</v>
      </c>
      <c r="E746" s="6">
        <v>0.1</v>
      </c>
      <c r="F746" s="6">
        <v>0.09</v>
      </c>
    </row>
    <row r="747" spans="1:6" x14ac:dyDescent="0.3">
      <c r="A747" s="5" t="s">
        <v>55</v>
      </c>
      <c r="B747" s="5" t="s">
        <v>45</v>
      </c>
      <c r="C747" s="5" t="s">
        <v>41</v>
      </c>
      <c r="D747" s="5" t="s">
        <v>34</v>
      </c>
      <c r="E747" s="6">
        <v>0.04</v>
      </c>
      <c r="F747" s="6">
        <v>0.04</v>
      </c>
    </row>
    <row r="748" spans="1:6" x14ac:dyDescent="0.3">
      <c r="A748" s="5" t="s">
        <v>55</v>
      </c>
      <c r="B748" s="5" t="s">
        <v>45</v>
      </c>
      <c r="C748" s="5" t="s">
        <v>41</v>
      </c>
      <c r="D748" s="5" t="s">
        <v>35</v>
      </c>
      <c r="E748" s="6">
        <v>0.04</v>
      </c>
      <c r="F748" s="6">
        <v>0.12</v>
      </c>
    </row>
    <row r="749" spans="1:6" x14ac:dyDescent="0.3">
      <c r="A749" s="5" t="s">
        <v>55</v>
      </c>
      <c r="B749" s="5" t="s">
        <v>45</v>
      </c>
      <c r="C749" s="5" t="s">
        <v>41</v>
      </c>
      <c r="D749" s="5" t="s">
        <v>36</v>
      </c>
      <c r="E749" s="6">
        <v>0.05</v>
      </c>
      <c r="F749" s="6">
        <v>0.17</v>
      </c>
    </row>
    <row r="750" spans="1:6" x14ac:dyDescent="0.3">
      <c r="A750" s="5" t="s">
        <v>55</v>
      </c>
      <c r="B750" s="5" t="s">
        <v>45</v>
      </c>
      <c r="C750" s="5" t="s">
        <v>41</v>
      </c>
      <c r="D750" s="5" t="s">
        <v>37</v>
      </c>
      <c r="E750" s="6">
        <v>7.0000000000000007E-2</v>
      </c>
      <c r="F750" s="6">
        <v>7.0000000000000007E-2</v>
      </c>
    </row>
    <row r="751" spans="1:6" x14ac:dyDescent="0.3">
      <c r="A751" s="5" t="s">
        <v>55</v>
      </c>
      <c r="B751" s="5" t="s">
        <v>45</v>
      </c>
      <c r="C751" s="5" t="s">
        <v>41</v>
      </c>
      <c r="D751" s="5" t="s">
        <v>38</v>
      </c>
      <c r="E751" s="6">
        <v>0.03</v>
      </c>
      <c r="F751" s="6">
        <v>0.08</v>
      </c>
    </row>
    <row r="752" spans="1:6" x14ac:dyDescent="0.3">
      <c r="A752" s="5" t="s">
        <v>55</v>
      </c>
      <c r="B752" s="5" t="s">
        <v>47</v>
      </c>
      <c r="C752" s="5" t="s">
        <v>41</v>
      </c>
      <c r="D752" s="5" t="s">
        <v>29</v>
      </c>
      <c r="E752" s="6">
        <v>0.28999999999999998</v>
      </c>
      <c r="F752" s="6">
        <v>20.61</v>
      </c>
    </row>
    <row r="753" spans="1:6" x14ac:dyDescent="0.3">
      <c r="A753" s="5" t="s">
        <v>55</v>
      </c>
      <c r="B753" s="5" t="s">
        <v>47</v>
      </c>
      <c r="C753" s="5" t="s">
        <v>41</v>
      </c>
      <c r="D753" s="5" t="s">
        <v>30</v>
      </c>
      <c r="E753" s="6">
        <v>0.35</v>
      </c>
      <c r="F753" s="6">
        <v>26.04</v>
      </c>
    </row>
    <row r="754" spans="1:6" x14ac:dyDescent="0.3">
      <c r="A754" s="5" t="s">
        <v>55</v>
      </c>
      <c r="B754" s="5" t="s">
        <v>47</v>
      </c>
      <c r="C754" s="5" t="s">
        <v>41</v>
      </c>
      <c r="D754" s="5" t="s">
        <v>31</v>
      </c>
      <c r="E754" s="6">
        <v>0.4</v>
      </c>
      <c r="F754" s="6">
        <v>31.84</v>
      </c>
    </row>
    <row r="755" spans="1:6" x14ac:dyDescent="0.3">
      <c r="A755" s="5" t="s">
        <v>55</v>
      </c>
      <c r="B755" s="5" t="s">
        <v>47</v>
      </c>
      <c r="C755" s="5" t="s">
        <v>41</v>
      </c>
      <c r="D755" s="5" t="s">
        <v>32</v>
      </c>
      <c r="E755" s="6">
        <v>0.26</v>
      </c>
      <c r="F755" s="6">
        <v>20.13</v>
      </c>
    </row>
    <row r="756" spans="1:6" x14ac:dyDescent="0.3">
      <c r="A756" s="5" t="s">
        <v>55</v>
      </c>
      <c r="B756" s="5" t="s">
        <v>47</v>
      </c>
      <c r="C756" s="5" t="s">
        <v>41</v>
      </c>
      <c r="D756" s="5" t="s">
        <v>33</v>
      </c>
      <c r="E756" s="6">
        <v>0.22</v>
      </c>
      <c r="F756" s="6">
        <v>17.510000000000002</v>
      </c>
    </row>
    <row r="757" spans="1:6" x14ac:dyDescent="0.3">
      <c r="A757" s="5" t="s">
        <v>55</v>
      </c>
      <c r="B757" s="5" t="s">
        <v>47</v>
      </c>
      <c r="C757" s="5" t="s">
        <v>41</v>
      </c>
      <c r="D757" s="5" t="s">
        <v>34</v>
      </c>
      <c r="E757" s="6">
        <v>0.28000000000000003</v>
      </c>
      <c r="F757" s="6">
        <v>28.65</v>
      </c>
    </row>
    <row r="758" spans="1:6" x14ac:dyDescent="0.3">
      <c r="A758" s="5" t="s">
        <v>55</v>
      </c>
      <c r="B758" s="5" t="s">
        <v>47</v>
      </c>
      <c r="C758" s="5" t="s">
        <v>41</v>
      </c>
      <c r="D758" s="5" t="s">
        <v>35</v>
      </c>
      <c r="E758" s="6">
        <v>0.28000000000000003</v>
      </c>
      <c r="F758" s="6">
        <v>29.43</v>
      </c>
    </row>
    <row r="759" spans="1:6" x14ac:dyDescent="0.3">
      <c r="A759" s="5" t="s">
        <v>55</v>
      </c>
      <c r="B759" s="5" t="s">
        <v>47</v>
      </c>
      <c r="C759" s="5" t="s">
        <v>41</v>
      </c>
      <c r="D759" s="5" t="s">
        <v>36</v>
      </c>
      <c r="E759" s="6">
        <v>0.27</v>
      </c>
      <c r="F759" s="6">
        <v>24.33</v>
      </c>
    </row>
    <row r="760" spans="1:6" x14ac:dyDescent="0.3">
      <c r="A760" s="5" t="s">
        <v>55</v>
      </c>
      <c r="B760" s="5" t="s">
        <v>47</v>
      </c>
      <c r="C760" s="5" t="s">
        <v>41</v>
      </c>
      <c r="D760" s="5" t="s">
        <v>37</v>
      </c>
      <c r="E760" s="6">
        <v>0.21</v>
      </c>
      <c r="F760" s="6">
        <v>19.16</v>
      </c>
    </row>
    <row r="761" spans="1:6" x14ac:dyDescent="0.3">
      <c r="A761" s="5" t="s">
        <v>55</v>
      </c>
      <c r="B761" s="5" t="s">
        <v>47</v>
      </c>
      <c r="C761" s="5" t="s">
        <v>41</v>
      </c>
      <c r="D761" s="5" t="s">
        <v>38</v>
      </c>
      <c r="E761" s="6">
        <v>0.22</v>
      </c>
      <c r="F761" s="6">
        <v>19.329999999999998</v>
      </c>
    </row>
    <row r="762" spans="1:6" x14ac:dyDescent="0.3">
      <c r="A762" s="5" t="s">
        <v>56</v>
      </c>
      <c r="B762" s="5" t="s">
        <v>27</v>
      </c>
      <c r="C762" s="5" t="s">
        <v>28</v>
      </c>
      <c r="D762" s="5" t="s">
        <v>29</v>
      </c>
      <c r="E762" s="6">
        <v>7.27</v>
      </c>
      <c r="F762" s="6">
        <v>13.64</v>
      </c>
    </row>
    <row r="763" spans="1:6" x14ac:dyDescent="0.3">
      <c r="A763" s="5" t="s">
        <v>56</v>
      </c>
      <c r="B763" s="5" t="s">
        <v>27</v>
      </c>
      <c r="C763" s="5" t="s">
        <v>28</v>
      </c>
      <c r="D763" s="5" t="s">
        <v>30</v>
      </c>
      <c r="E763" s="6">
        <v>6.64</v>
      </c>
      <c r="F763" s="6">
        <v>14.55</v>
      </c>
    </row>
    <row r="764" spans="1:6" x14ac:dyDescent="0.3">
      <c r="A764" s="5" t="s">
        <v>56</v>
      </c>
      <c r="B764" s="5" t="s">
        <v>27</v>
      </c>
      <c r="C764" s="5" t="s">
        <v>28</v>
      </c>
      <c r="D764" s="5" t="s">
        <v>31</v>
      </c>
      <c r="E764" s="6">
        <v>6.74</v>
      </c>
      <c r="F764" s="6">
        <v>13.93</v>
      </c>
    </row>
    <row r="765" spans="1:6" x14ac:dyDescent="0.3">
      <c r="A765" s="5" t="s">
        <v>56</v>
      </c>
      <c r="B765" s="5" t="s">
        <v>27</v>
      </c>
      <c r="C765" s="5" t="s">
        <v>28</v>
      </c>
      <c r="D765" s="5" t="s">
        <v>32</v>
      </c>
      <c r="E765" s="6">
        <v>6.65</v>
      </c>
      <c r="F765" s="6">
        <v>15.31</v>
      </c>
    </row>
    <row r="766" spans="1:6" x14ac:dyDescent="0.3">
      <c r="A766" s="5" t="s">
        <v>56</v>
      </c>
      <c r="B766" s="5" t="s">
        <v>27</v>
      </c>
      <c r="C766" s="5" t="s">
        <v>28</v>
      </c>
      <c r="D766" s="5" t="s">
        <v>33</v>
      </c>
      <c r="E766" s="6">
        <v>7.09</v>
      </c>
      <c r="F766" s="6">
        <v>16.37</v>
      </c>
    </row>
    <row r="767" spans="1:6" x14ac:dyDescent="0.3">
      <c r="A767" s="5" t="s">
        <v>56</v>
      </c>
      <c r="B767" s="5" t="s">
        <v>27</v>
      </c>
      <c r="C767" s="5" t="s">
        <v>28</v>
      </c>
      <c r="D767" s="5" t="s">
        <v>34</v>
      </c>
      <c r="E767" s="6">
        <v>6.91</v>
      </c>
      <c r="F767" s="6">
        <v>14.67</v>
      </c>
    </row>
    <row r="768" spans="1:6" x14ac:dyDescent="0.3">
      <c r="A768" s="5" t="s">
        <v>56</v>
      </c>
      <c r="B768" s="5" t="s">
        <v>27</v>
      </c>
      <c r="C768" s="5" t="s">
        <v>28</v>
      </c>
      <c r="D768" s="5" t="s">
        <v>35</v>
      </c>
      <c r="E768" s="6">
        <v>8.32</v>
      </c>
      <c r="F768" s="6">
        <v>17.829999999999998</v>
      </c>
    </row>
    <row r="769" spans="1:6" x14ac:dyDescent="0.3">
      <c r="A769" s="5" t="s">
        <v>56</v>
      </c>
      <c r="B769" s="5" t="s">
        <v>27</v>
      </c>
      <c r="C769" s="5" t="s">
        <v>28</v>
      </c>
      <c r="D769" s="5" t="s">
        <v>36</v>
      </c>
      <c r="E769" s="6">
        <v>8.39</v>
      </c>
      <c r="F769" s="6">
        <v>18.309999999999999</v>
      </c>
    </row>
    <row r="770" spans="1:6" x14ac:dyDescent="0.3">
      <c r="A770" s="5" t="s">
        <v>56</v>
      </c>
      <c r="B770" s="5" t="s">
        <v>27</v>
      </c>
      <c r="C770" s="5" t="s">
        <v>28</v>
      </c>
      <c r="D770" s="5" t="s">
        <v>37</v>
      </c>
      <c r="E770" s="6">
        <v>3.01</v>
      </c>
      <c r="F770" s="6">
        <v>6.59</v>
      </c>
    </row>
    <row r="771" spans="1:6" x14ac:dyDescent="0.3">
      <c r="A771" s="5" t="s">
        <v>56</v>
      </c>
      <c r="B771" s="5" t="s">
        <v>27</v>
      </c>
      <c r="C771" s="5" t="s">
        <v>28</v>
      </c>
      <c r="D771" s="5" t="s">
        <v>38</v>
      </c>
      <c r="E771" s="6">
        <v>5.58</v>
      </c>
      <c r="F771" s="6">
        <v>12.34</v>
      </c>
    </row>
    <row r="772" spans="1:6" x14ac:dyDescent="0.3">
      <c r="A772" s="5" t="s">
        <v>56</v>
      </c>
      <c r="B772" s="5" t="s">
        <v>27</v>
      </c>
      <c r="C772" s="5" t="s">
        <v>39</v>
      </c>
      <c r="D772" s="5" t="s">
        <v>29</v>
      </c>
      <c r="E772" s="6">
        <v>0.12</v>
      </c>
      <c r="F772" s="6">
        <v>1.61</v>
      </c>
    </row>
    <row r="773" spans="1:6" x14ac:dyDescent="0.3">
      <c r="A773" s="5" t="s">
        <v>56</v>
      </c>
      <c r="B773" s="5" t="s">
        <v>27</v>
      </c>
      <c r="C773" s="5" t="s">
        <v>39</v>
      </c>
      <c r="D773" s="5" t="s">
        <v>30</v>
      </c>
      <c r="E773" s="6">
        <v>0.6</v>
      </c>
      <c r="F773" s="6">
        <v>1.43</v>
      </c>
    </row>
    <row r="774" spans="1:6" x14ac:dyDescent="0.3">
      <c r="A774" s="5" t="s">
        <v>56</v>
      </c>
      <c r="B774" s="5" t="s">
        <v>27</v>
      </c>
      <c r="C774" s="5" t="s">
        <v>39</v>
      </c>
      <c r="D774" s="5" t="s">
        <v>31</v>
      </c>
      <c r="E774" s="6">
        <v>0.59</v>
      </c>
      <c r="F774" s="6">
        <v>1.33</v>
      </c>
    </row>
    <row r="775" spans="1:6" x14ac:dyDescent="0.3">
      <c r="A775" s="5" t="s">
        <v>56</v>
      </c>
      <c r="B775" s="5" t="s">
        <v>27</v>
      </c>
      <c r="C775" s="5" t="s">
        <v>39</v>
      </c>
      <c r="D775" s="5" t="s">
        <v>32</v>
      </c>
      <c r="E775" s="6">
        <v>0.64</v>
      </c>
      <c r="F775" s="6">
        <v>1.63</v>
      </c>
    </row>
    <row r="776" spans="1:6" x14ac:dyDescent="0.3">
      <c r="A776" s="5" t="s">
        <v>56</v>
      </c>
      <c r="B776" s="5" t="s">
        <v>27</v>
      </c>
      <c r="C776" s="5" t="s">
        <v>39</v>
      </c>
      <c r="D776" s="5" t="s">
        <v>33</v>
      </c>
      <c r="E776" s="6">
        <v>0.64</v>
      </c>
      <c r="F776" s="6">
        <v>1.81</v>
      </c>
    </row>
    <row r="777" spans="1:6" x14ac:dyDescent="0.3">
      <c r="A777" s="5" t="s">
        <v>56</v>
      </c>
      <c r="B777" s="5" t="s">
        <v>27</v>
      </c>
      <c r="C777" s="5" t="s">
        <v>39</v>
      </c>
      <c r="D777" s="5" t="s">
        <v>34</v>
      </c>
      <c r="E777" s="6">
        <v>0.56000000000000005</v>
      </c>
      <c r="F777" s="6">
        <v>1.54</v>
      </c>
    </row>
    <row r="778" spans="1:6" x14ac:dyDescent="0.3">
      <c r="A778" s="5" t="s">
        <v>56</v>
      </c>
      <c r="B778" s="5" t="s">
        <v>27</v>
      </c>
      <c r="C778" s="5" t="s">
        <v>39</v>
      </c>
      <c r="D778" s="5" t="s">
        <v>35</v>
      </c>
      <c r="E778" s="6">
        <v>0.1</v>
      </c>
      <c r="F778" s="6">
        <v>0.28000000000000003</v>
      </c>
    </row>
    <row r="779" spans="1:6" x14ac:dyDescent="0.3">
      <c r="A779" s="5" t="s">
        <v>56</v>
      </c>
      <c r="B779" s="5" t="s">
        <v>27</v>
      </c>
      <c r="C779" s="5" t="s">
        <v>39</v>
      </c>
      <c r="D779" s="5" t="s">
        <v>36</v>
      </c>
      <c r="E779" s="6">
        <v>0.15</v>
      </c>
      <c r="F779" s="6">
        <v>0.43</v>
      </c>
    </row>
    <row r="780" spans="1:6" x14ac:dyDescent="0.3">
      <c r="A780" s="5" t="s">
        <v>56</v>
      </c>
      <c r="B780" s="5" t="s">
        <v>27</v>
      </c>
      <c r="C780" s="5" t="s">
        <v>39</v>
      </c>
      <c r="D780" s="5" t="s">
        <v>37</v>
      </c>
      <c r="E780" s="6">
        <v>0.3</v>
      </c>
      <c r="F780" s="6">
        <v>0.87</v>
      </c>
    </row>
    <row r="781" spans="1:6" x14ac:dyDescent="0.3">
      <c r="A781" s="5" t="s">
        <v>56</v>
      </c>
      <c r="B781" s="5" t="s">
        <v>27</v>
      </c>
      <c r="C781" s="5" t="s">
        <v>39</v>
      </c>
      <c r="D781" s="5" t="s">
        <v>38</v>
      </c>
      <c r="E781" s="6">
        <v>0.36</v>
      </c>
      <c r="F781" s="6">
        <v>1.1499999999999999</v>
      </c>
    </row>
    <row r="782" spans="1:6" x14ac:dyDescent="0.3">
      <c r="A782" s="5" t="s">
        <v>56</v>
      </c>
      <c r="B782" s="5" t="s">
        <v>27</v>
      </c>
      <c r="C782" s="5" t="s">
        <v>40</v>
      </c>
      <c r="D782" s="5" t="s">
        <v>29</v>
      </c>
      <c r="E782" s="6"/>
      <c r="F782" s="6"/>
    </row>
    <row r="783" spans="1:6" x14ac:dyDescent="0.3">
      <c r="A783" s="5" t="s">
        <v>56</v>
      </c>
      <c r="B783" s="5" t="s">
        <v>27</v>
      </c>
      <c r="C783" s="5" t="s">
        <v>40</v>
      </c>
      <c r="D783" s="5" t="s">
        <v>30</v>
      </c>
      <c r="E783" s="6"/>
      <c r="F783" s="6"/>
    </row>
    <row r="784" spans="1:6" x14ac:dyDescent="0.3">
      <c r="A784" s="5" t="s">
        <v>56</v>
      </c>
      <c r="B784" s="5" t="s">
        <v>27</v>
      </c>
      <c r="C784" s="5" t="s">
        <v>40</v>
      </c>
      <c r="D784" s="5" t="s">
        <v>31</v>
      </c>
      <c r="E784" s="6"/>
      <c r="F784" s="6"/>
    </row>
    <row r="785" spans="1:6" x14ac:dyDescent="0.3">
      <c r="A785" s="5" t="s">
        <v>56</v>
      </c>
      <c r="B785" s="5" t="s">
        <v>27</v>
      </c>
      <c r="C785" s="5" t="s">
        <v>40</v>
      </c>
      <c r="D785" s="5" t="s">
        <v>32</v>
      </c>
      <c r="E785" s="6"/>
      <c r="F785" s="6"/>
    </row>
    <row r="786" spans="1:6" x14ac:dyDescent="0.3">
      <c r="A786" s="5" t="s">
        <v>56</v>
      </c>
      <c r="B786" s="5" t="s">
        <v>27</v>
      </c>
      <c r="C786" s="5" t="s">
        <v>40</v>
      </c>
      <c r="D786" s="5" t="s">
        <v>33</v>
      </c>
      <c r="E786" s="6"/>
      <c r="F786" s="6"/>
    </row>
    <row r="787" spans="1:6" x14ac:dyDescent="0.3">
      <c r="A787" s="5" t="s">
        <v>56</v>
      </c>
      <c r="B787" s="5" t="s">
        <v>27</v>
      </c>
      <c r="C787" s="5" t="s">
        <v>40</v>
      </c>
      <c r="D787" s="5" t="s">
        <v>34</v>
      </c>
      <c r="E787" s="6"/>
      <c r="F787" s="6"/>
    </row>
    <row r="788" spans="1:6" x14ac:dyDescent="0.3">
      <c r="A788" s="5" t="s">
        <v>56</v>
      </c>
      <c r="B788" s="5" t="s">
        <v>27</v>
      </c>
      <c r="C788" s="5" t="s">
        <v>40</v>
      </c>
      <c r="D788" s="5" t="s">
        <v>35</v>
      </c>
      <c r="E788" s="6">
        <v>0.49</v>
      </c>
      <c r="F788" s="6">
        <v>1.41</v>
      </c>
    </row>
    <row r="789" spans="1:6" x14ac:dyDescent="0.3">
      <c r="A789" s="5" t="s">
        <v>56</v>
      </c>
      <c r="B789" s="5" t="s">
        <v>27</v>
      </c>
      <c r="C789" s="5" t="s">
        <v>40</v>
      </c>
      <c r="D789" s="5" t="s">
        <v>36</v>
      </c>
      <c r="E789" s="6">
        <v>2.5</v>
      </c>
      <c r="F789" s="6">
        <v>7.95</v>
      </c>
    </row>
    <row r="790" spans="1:6" x14ac:dyDescent="0.3">
      <c r="A790" s="5" t="s">
        <v>56</v>
      </c>
      <c r="B790" s="5" t="s">
        <v>27</v>
      </c>
      <c r="C790" s="5" t="s">
        <v>40</v>
      </c>
      <c r="D790" s="5" t="s">
        <v>37</v>
      </c>
      <c r="E790" s="6">
        <v>3.5</v>
      </c>
      <c r="F790" s="6">
        <v>12.16</v>
      </c>
    </row>
    <row r="791" spans="1:6" x14ac:dyDescent="0.3">
      <c r="A791" s="5" t="s">
        <v>56</v>
      </c>
      <c r="B791" s="5" t="s">
        <v>27</v>
      </c>
      <c r="C791" s="5" t="s">
        <v>40</v>
      </c>
      <c r="D791" s="5" t="s">
        <v>38</v>
      </c>
      <c r="E791" s="6">
        <v>5.13</v>
      </c>
      <c r="F791" s="6">
        <v>17</v>
      </c>
    </row>
    <row r="792" spans="1:6" x14ac:dyDescent="0.3">
      <c r="A792" s="5" t="s">
        <v>56</v>
      </c>
      <c r="B792" s="5" t="s">
        <v>27</v>
      </c>
      <c r="C792" s="5" t="s">
        <v>41</v>
      </c>
      <c r="D792" s="5" t="s">
        <v>29</v>
      </c>
      <c r="E792" s="6">
        <v>7.39</v>
      </c>
      <c r="F792" s="6">
        <v>15.25</v>
      </c>
    </row>
    <row r="793" spans="1:6" x14ac:dyDescent="0.3">
      <c r="A793" s="5" t="s">
        <v>56</v>
      </c>
      <c r="B793" s="5" t="s">
        <v>27</v>
      </c>
      <c r="C793" s="5" t="s">
        <v>41</v>
      </c>
      <c r="D793" s="5" t="s">
        <v>30</v>
      </c>
      <c r="E793" s="6">
        <v>7.24</v>
      </c>
      <c r="F793" s="6">
        <v>15.98</v>
      </c>
    </row>
    <row r="794" spans="1:6" x14ac:dyDescent="0.3">
      <c r="A794" s="5" t="s">
        <v>56</v>
      </c>
      <c r="B794" s="5" t="s">
        <v>27</v>
      </c>
      <c r="C794" s="5" t="s">
        <v>41</v>
      </c>
      <c r="D794" s="5" t="s">
        <v>31</v>
      </c>
      <c r="E794" s="6">
        <v>7.33</v>
      </c>
      <c r="F794" s="6">
        <v>15.26</v>
      </c>
    </row>
    <row r="795" spans="1:6" x14ac:dyDescent="0.3">
      <c r="A795" s="5" t="s">
        <v>56</v>
      </c>
      <c r="B795" s="5" t="s">
        <v>27</v>
      </c>
      <c r="C795" s="5" t="s">
        <v>41</v>
      </c>
      <c r="D795" s="5" t="s">
        <v>32</v>
      </c>
      <c r="E795" s="6">
        <v>7.29</v>
      </c>
      <c r="F795" s="6">
        <v>16.940000000000001</v>
      </c>
    </row>
    <row r="796" spans="1:6" x14ac:dyDescent="0.3">
      <c r="A796" s="5" t="s">
        <v>56</v>
      </c>
      <c r="B796" s="5" t="s">
        <v>27</v>
      </c>
      <c r="C796" s="5" t="s">
        <v>41</v>
      </c>
      <c r="D796" s="5" t="s">
        <v>33</v>
      </c>
      <c r="E796" s="6">
        <v>7.73</v>
      </c>
      <c r="F796" s="6">
        <v>18.18</v>
      </c>
    </row>
    <row r="797" spans="1:6" x14ac:dyDescent="0.3">
      <c r="A797" s="5" t="s">
        <v>56</v>
      </c>
      <c r="B797" s="5" t="s">
        <v>27</v>
      </c>
      <c r="C797" s="5" t="s">
        <v>41</v>
      </c>
      <c r="D797" s="5" t="s">
        <v>34</v>
      </c>
      <c r="E797" s="6">
        <v>7.47</v>
      </c>
      <c r="F797" s="6">
        <v>16.21</v>
      </c>
    </row>
    <row r="798" spans="1:6" x14ac:dyDescent="0.3">
      <c r="A798" s="5" t="s">
        <v>56</v>
      </c>
      <c r="B798" s="5" t="s">
        <v>27</v>
      </c>
      <c r="C798" s="5" t="s">
        <v>41</v>
      </c>
      <c r="D798" s="5" t="s">
        <v>35</v>
      </c>
      <c r="E798" s="6">
        <v>8.91</v>
      </c>
      <c r="F798" s="6">
        <v>19.52</v>
      </c>
    </row>
    <row r="799" spans="1:6" x14ac:dyDescent="0.3">
      <c r="A799" s="5" t="s">
        <v>56</v>
      </c>
      <c r="B799" s="5" t="s">
        <v>27</v>
      </c>
      <c r="C799" s="5" t="s">
        <v>41</v>
      </c>
      <c r="D799" s="5" t="s">
        <v>36</v>
      </c>
      <c r="E799" s="6">
        <v>11.04</v>
      </c>
      <c r="F799" s="6">
        <v>26.68</v>
      </c>
    </row>
    <row r="800" spans="1:6" x14ac:dyDescent="0.3">
      <c r="A800" s="5" t="s">
        <v>56</v>
      </c>
      <c r="B800" s="5" t="s">
        <v>27</v>
      </c>
      <c r="C800" s="5" t="s">
        <v>41</v>
      </c>
      <c r="D800" s="5" t="s">
        <v>37</v>
      </c>
      <c r="E800" s="6">
        <v>6.81</v>
      </c>
      <c r="F800" s="6">
        <v>19.61</v>
      </c>
    </row>
    <row r="801" spans="1:6" x14ac:dyDescent="0.3">
      <c r="A801" s="5" t="s">
        <v>56</v>
      </c>
      <c r="B801" s="5" t="s">
        <v>27</v>
      </c>
      <c r="C801" s="5" t="s">
        <v>41</v>
      </c>
      <c r="D801" s="5" t="s">
        <v>38</v>
      </c>
      <c r="E801" s="6">
        <v>11.07</v>
      </c>
      <c r="F801" s="6">
        <v>30.5</v>
      </c>
    </row>
    <row r="802" spans="1:6" x14ac:dyDescent="0.3">
      <c r="A802" s="5" t="s">
        <v>56</v>
      </c>
      <c r="B802" s="5" t="s">
        <v>42</v>
      </c>
      <c r="C802" s="5" t="s">
        <v>41</v>
      </c>
      <c r="D802" s="5" t="s">
        <v>29</v>
      </c>
      <c r="E802" s="6">
        <v>59.92</v>
      </c>
      <c r="F802" s="6">
        <v>137.54</v>
      </c>
    </row>
    <row r="803" spans="1:6" x14ac:dyDescent="0.3">
      <c r="A803" s="5" t="s">
        <v>56</v>
      </c>
      <c r="B803" s="5" t="s">
        <v>42</v>
      </c>
      <c r="C803" s="5" t="s">
        <v>41</v>
      </c>
      <c r="D803" s="5" t="s">
        <v>30</v>
      </c>
      <c r="E803" s="6">
        <v>58.14</v>
      </c>
      <c r="F803" s="6">
        <v>132.74</v>
      </c>
    </row>
    <row r="804" spans="1:6" x14ac:dyDescent="0.3">
      <c r="A804" s="5" t="s">
        <v>56</v>
      </c>
      <c r="B804" s="5" t="s">
        <v>42</v>
      </c>
      <c r="C804" s="5" t="s">
        <v>41</v>
      </c>
      <c r="D804" s="5" t="s">
        <v>31</v>
      </c>
      <c r="E804" s="6">
        <v>57.48</v>
      </c>
      <c r="F804" s="6">
        <v>155.44999999999999</v>
      </c>
    </row>
    <row r="805" spans="1:6" x14ac:dyDescent="0.3">
      <c r="A805" s="5" t="s">
        <v>56</v>
      </c>
      <c r="B805" s="5" t="s">
        <v>42</v>
      </c>
      <c r="C805" s="5" t="s">
        <v>41</v>
      </c>
      <c r="D805" s="5" t="s">
        <v>32</v>
      </c>
      <c r="E805" s="6">
        <v>57.37</v>
      </c>
      <c r="F805" s="6">
        <v>155.18</v>
      </c>
    </row>
    <row r="806" spans="1:6" x14ac:dyDescent="0.3">
      <c r="A806" s="5" t="s">
        <v>56</v>
      </c>
      <c r="B806" s="5" t="s">
        <v>42</v>
      </c>
      <c r="C806" s="5" t="s">
        <v>41</v>
      </c>
      <c r="D806" s="5" t="s">
        <v>33</v>
      </c>
      <c r="E806" s="6">
        <v>56.78</v>
      </c>
      <c r="F806" s="6">
        <v>155.19999999999999</v>
      </c>
    </row>
    <row r="807" spans="1:6" x14ac:dyDescent="0.3">
      <c r="A807" s="5" t="s">
        <v>56</v>
      </c>
      <c r="B807" s="5" t="s">
        <v>42</v>
      </c>
      <c r="C807" s="5" t="s">
        <v>41</v>
      </c>
      <c r="D807" s="5" t="s">
        <v>34</v>
      </c>
      <c r="E807" s="6">
        <v>57.03</v>
      </c>
      <c r="F807" s="6">
        <v>152.72</v>
      </c>
    </row>
    <row r="808" spans="1:6" x14ac:dyDescent="0.3">
      <c r="A808" s="5" t="s">
        <v>56</v>
      </c>
      <c r="B808" s="5" t="s">
        <v>42</v>
      </c>
      <c r="C808" s="5" t="s">
        <v>41</v>
      </c>
      <c r="D808" s="5" t="s">
        <v>35</v>
      </c>
      <c r="E808" s="6">
        <v>58.99</v>
      </c>
      <c r="F808" s="6">
        <v>161.43</v>
      </c>
    </row>
    <row r="809" spans="1:6" x14ac:dyDescent="0.3">
      <c r="A809" s="5" t="s">
        <v>56</v>
      </c>
      <c r="B809" s="5" t="s">
        <v>42</v>
      </c>
      <c r="C809" s="5" t="s">
        <v>41</v>
      </c>
      <c r="D809" s="5" t="s">
        <v>36</v>
      </c>
      <c r="E809" s="6">
        <v>57.68</v>
      </c>
      <c r="F809" s="6">
        <v>159.9</v>
      </c>
    </row>
    <row r="810" spans="1:6" x14ac:dyDescent="0.3">
      <c r="A810" s="5" t="s">
        <v>56</v>
      </c>
      <c r="B810" s="5" t="s">
        <v>42</v>
      </c>
      <c r="C810" s="5" t="s">
        <v>41</v>
      </c>
      <c r="D810" s="5" t="s">
        <v>37</v>
      </c>
      <c r="E810" s="6">
        <v>73.5</v>
      </c>
      <c r="F810" s="6">
        <v>207.59</v>
      </c>
    </row>
    <row r="811" spans="1:6" x14ac:dyDescent="0.3">
      <c r="A811" s="5" t="s">
        <v>56</v>
      </c>
      <c r="B811" s="5" t="s">
        <v>42</v>
      </c>
      <c r="C811" s="5" t="s">
        <v>41</v>
      </c>
      <c r="D811" s="5" t="s">
        <v>38</v>
      </c>
      <c r="E811" s="6">
        <v>69.89</v>
      </c>
      <c r="F811" s="6">
        <v>198.05</v>
      </c>
    </row>
    <row r="812" spans="1:6" x14ac:dyDescent="0.3">
      <c r="A812" s="5" t="s">
        <v>56</v>
      </c>
      <c r="B812" s="5" t="s">
        <v>43</v>
      </c>
      <c r="C812" s="5" t="s">
        <v>41</v>
      </c>
      <c r="D812" s="5" t="s">
        <v>29</v>
      </c>
      <c r="E812" s="6">
        <v>96.55</v>
      </c>
      <c r="F812" s="6">
        <v>300.56</v>
      </c>
    </row>
    <row r="813" spans="1:6" x14ac:dyDescent="0.3">
      <c r="A813" s="5" t="s">
        <v>56</v>
      </c>
      <c r="B813" s="5" t="s">
        <v>43</v>
      </c>
      <c r="C813" s="5" t="s">
        <v>41</v>
      </c>
      <c r="D813" s="5" t="s">
        <v>30</v>
      </c>
      <c r="E813" s="6">
        <v>97.53</v>
      </c>
      <c r="F813" s="6">
        <v>318.79000000000002</v>
      </c>
    </row>
    <row r="814" spans="1:6" x14ac:dyDescent="0.3">
      <c r="A814" s="5" t="s">
        <v>56</v>
      </c>
      <c r="B814" s="5" t="s">
        <v>43</v>
      </c>
      <c r="C814" s="5" t="s">
        <v>41</v>
      </c>
      <c r="D814" s="5" t="s">
        <v>31</v>
      </c>
      <c r="E814" s="6">
        <v>95.4</v>
      </c>
      <c r="F814" s="6">
        <v>327.41000000000003</v>
      </c>
    </row>
    <row r="815" spans="1:6" x14ac:dyDescent="0.3">
      <c r="A815" s="5" t="s">
        <v>56</v>
      </c>
      <c r="B815" s="5" t="s">
        <v>43</v>
      </c>
      <c r="C815" s="5" t="s">
        <v>41</v>
      </c>
      <c r="D815" s="5" t="s">
        <v>32</v>
      </c>
      <c r="E815" s="6">
        <v>98.53</v>
      </c>
      <c r="F815" s="6">
        <v>338.15</v>
      </c>
    </row>
    <row r="816" spans="1:6" x14ac:dyDescent="0.3">
      <c r="A816" s="5" t="s">
        <v>56</v>
      </c>
      <c r="B816" s="5" t="s">
        <v>43</v>
      </c>
      <c r="C816" s="5" t="s">
        <v>41</v>
      </c>
      <c r="D816" s="5" t="s">
        <v>33</v>
      </c>
      <c r="E816" s="6">
        <v>98.52</v>
      </c>
      <c r="F816" s="6">
        <v>355.07</v>
      </c>
    </row>
    <row r="817" spans="1:6" x14ac:dyDescent="0.3">
      <c r="A817" s="5" t="s">
        <v>56</v>
      </c>
      <c r="B817" s="5" t="s">
        <v>43</v>
      </c>
      <c r="C817" s="5" t="s">
        <v>41</v>
      </c>
      <c r="D817" s="5" t="s">
        <v>34</v>
      </c>
      <c r="E817" s="6">
        <v>94.2</v>
      </c>
      <c r="F817" s="6">
        <v>339.5</v>
      </c>
    </row>
    <row r="818" spans="1:6" x14ac:dyDescent="0.3">
      <c r="A818" s="5" t="s">
        <v>56</v>
      </c>
      <c r="B818" s="5" t="s">
        <v>43</v>
      </c>
      <c r="C818" s="5" t="s">
        <v>41</v>
      </c>
      <c r="D818" s="5" t="s">
        <v>35</v>
      </c>
      <c r="E818" s="6">
        <v>95.19</v>
      </c>
      <c r="F818" s="6">
        <v>336.1</v>
      </c>
    </row>
    <row r="819" spans="1:6" x14ac:dyDescent="0.3">
      <c r="A819" s="5" t="s">
        <v>56</v>
      </c>
      <c r="B819" s="5" t="s">
        <v>43</v>
      </c>
      <c r="C819" s="5" t="s">
        <v>41</v>
      </c>
      <c r="D819" s="5" t="s">
        <v>36</v>
      </c>
      <c r="E819" s="6">
        <v>95.32</v>
      </c>
      <c r="F819" s="6">
        <v>353.4</v>
      </c>
    </row>
    <row r="820" spans="1:6" x14ac:dyDescent="0.3">
      <c r="A820" s="5" t="s">
        <v>56</v>
      </c>
      <c r="B820" s="5" t="s">
        <v>43</v>
      </c>
      <c r="C820" s="5" t="s">
        <v>41</v>
      </c>
      <c r="D820" s="5" t="s">
        <v>37</v>
      </c>
      <c r="E820" s="6">
        <v>95.99</v>
      </c>
      <c r="F820" s="6">
        <v>356.53</v>
      </c>
    </row>
    <row r="821" spans="1:6" x14ac:dyDescent="0.3">
      <c r="A821" s="5" t="s">
        <v>56</v>
      </c>
      <c r="B821" s="5" t="s">
        <v>43</v>
      </c>
      <c r="C821" s="5" t="s">
        <v>41</v>
      </c>
      <c r="D821" s="5" t="s">
        <v>38</v>
      </c>
      <c r="E821" s="6">
        <v>96.13</v>
      </c>
      <c r="F821" s="6">
        <v>358.77</v>
      </c>
    </row>
    <row r="822" spans="1:6" x14ac:dyDescent="0.3">
      <c r="A822" s="5" t="s">
        <v>56</v>
      </c>
      <c r="B822" s="5" t="s">
        <v>44</v>
      </c>
      <c r="C822" s="5" t="s">
        <v>41</v>
      </c>
      <c r="D822" s="5" t="s">
        <v>29</v>
      </c>
      <c r="E822" s="6">
        <v>1.83</v>
      </c>
      <c r="F822" s="6">
        <v>1.83</v>
      </c>
    </row>
    <row r="823" spans="1:6" x14ac:dyDescent="0.3">
      <c r="A823" s="5" t="s">
        <v>56</v>
      </c>
      <c r="B823" s="5" t="s">
        <v>44</v>
      </c>
      <c r="C823" s="5" t="s">
        <v>41</v>
      </c>
      <c r="D823" s="5" t="s">
        <v>30</v>
      </c>
      <c r="E823" s="6">
        <v>1.69</v>
      </c>
      <c r="F823" s="6">
        <v>2.15</v>
      </c>
    </row>
    <row r="824" spans="1:6" x14ac:dyDescent="0.3">
      <c r="A824" s="5" t="s">
        <v>56</v>
      </c>
      <c r="B824" s="5" t="s">
        <v>44</v>
      </c>
      <c r="C824" s="5" t="s">
        <v>41</v>
      </c>
      <c r="D824" s="5" t="s">
        <v>31</v>
      </c>
      <c r="E824" s="6">
        <v>1.47</v>
      </c>
      <c r="F824" s="6">
        <v>1.83</v>
      </c>
    </row>
    <row r="825" spans="1:6" x14ac:dyDescent="0.3">
      <c r="A825" s="5" t="s">
        <v>56</v>
      </c>
      <c r="B825" s="5" t="s">
        <v>44</v>
      </c>
      <c r="C825" s="5" t="s">
        <v>41</v>
      </c>
      <c r="D825" s="5" t="s">
        <v>32</v>
      </c>
      <c r="E825" s="6">
        <v>1.68</v>
      </c>
      <c r="F825" s="6">
        <v>2.27</v>
      </c>
    </row>
    <row r="826" spans="1:6" x14ac:dyDescent="0.3">
      <c r="A826" s="5" t="s">
        <v>56</v>
      </c>
      <c r="B826" s="5" t="s">
        <v>44</v>
      </c>
      <c r="C826" s="5" t="s">
        <v>41</v>
      </c>
      <c r="D826" s="5" t="s">
        <v>33</v>
      </c>
      <c r="E826" s="6">
        <v>1.74</v>
      </c>
      <c r="F826" s="6">
        <v>2.75</v>
      </c>
    </row>
    <row r="827" spans="1:6" x14ac:dyDescent="0.3">
      <c r="A827" s="5" t="s">
        <v>56</v>
      </c>
      <c r="B827" s="5" t="s">
        <v>44</v>
      </c>
      <c r="C827" s="5" t="s">
        <v>41</v>
      </c>
      <c r="D827" s="5" t="s">
        <v>34</v>
      </c>
      <c r="E827" s="6">
        <v>1.71</v>
      </c>
      <c r="F827" s="6">
        <v>2.7</v>
      </c>
    </row>
    <row r="828" spans="1:6" x14ac:dyDescent="0.3">
      <c r="A828" s="5" t="s">
        <v>56</v>
      </c>
      <c r="B828" s="5" t="s">
        <v>44</v>
      </c>
      <c r="C828" s="5" t="s">
        <v>41</v>
      </c>
      <c r="D828" s="5" t="s">
        <v>35</v>
      </c>
      <c r="E828" s="6">
        <v>1.98</v>
      </c>
      <c r="F828" s="6">
        <v>3.15</v>
      </c>
    </row>
    <row r="829" spans="1:6" x14ac:dyDescent="0.3">
      <c r="A829" s="5" t="s">
        <v>56</v>
      </c>
      <c r="B829" s="5" t="s">
        <v>44</v>
      </c>
      <c r="C829" s="5" t="s">
        <v>41</v>
      </c>
      <c r="D829" s="5" t="s">
        <v>36</v>
      </c>
      <c r="E829" s="6">
        <v>2.89</v>
      </c>
      <c r="F829" s="6">
        <v>4.62</v>
      </c>
    </row>
    <row r="830" spans="1:6" x14ac:dyDescent="0.3">
      <c r="A830" s="5" t="s">
        <v>56</v>
      </c>
      <c r="B830" s="5" t="s">
        <v>44</v>
      </c>
      <c r="C830" s="5" t="s">
        <v>41</v>
      </c>
      <c r="D830" s="5" t="s">
        <v>37</v>
      </c>
      <c r="E830" s="6">
        <v>2.68</v>
      </c>
      <c r="F830" s="6">
        <v>4.3499999999999996</v>
      </c>
    </row>
    <row r="831" spans="1:6" x14ac:dyDescent="0.3">
      <c r="A831" s="5" t="s">
        <v>56</v>
      </c>
      <c r="B831" s="5" t="s">
        <v>44</v>
      </c>
      <c r="C831" s="5" t="s">
        <v>41</v>
      </c>
      <c r="D831" s="5" t="s">
        <v>38</v>
      </c>
      <c r="E831" s="6">
        <v>3.06</v>
      </c>
      <c r="F831" s="6">
        <v>5.22</v>
      </c>
    </row>
    <row r="832" spans="1:6" x14ac:dyDescent="0.3">
      <c r="A832" s="5" t="s">
        <v>56</v>
      </c>
      <c r="B832" s="5" t="s">
        <v>45</v>
      </c>
      <c r="C832" s="5" t="s">
        <v>41</v>
      </c>
      <c r="D832" s="5" t="s">
        <v>29</v>
      </c>
      <c r="E832" s="6">
        <v>9.07</v>
      </c>
      <c r="F832" s="6">
        <v>17.36</v>
      </c>
    </row>
    <row r="833" spans="1:6" x14ac:dyDescent="0.3">
      <c r="A833" s="5" t="s">
        <v>56</v>
      </c>
      <c r="B833" s="5" t="s">
        <v>45</v>
      </c>
      <c r="C833" s="5" t="s">
        <v>41</v>
      </c>
      <c r="D833" s="5" t="s">
        <v>30</v>
      </c>
      <c r="E833" s="6">
        <v>9.25</v>
      </c>
      <c r="F833" s="6">
        <v>17.95</v>
      </c>
    </row>
    <row r="834" spans="1:6" x14ac:dyDescent="0.3">
      <c r="A834" s="5" t="s">
        <v>56</v>
      </c>
      <c r="B834" s="5" t="s">
        <v>45</v>
      </c>
      <c r="C834" s="5" t="s">
        <v>41</v>
      </c>
      <c r="D834" s="5" t="s">
        <v>31</v>
      </c>
      <c r="E834" s="6">
        <v>8.77</v>
      </c>
      <c r="F834" s="6">
        <v>17.79</v>
      </c>
    </row>
    <row r="835" spans="1:6" x14ac:dyDescent="0.3">
      <c r="A835" s="5" t="s">
        <v>56</v>
      </c>
      <c r="B835" s="5" t="s">
        <v>45</v>
      </c>
      <c r="C835" s="5" t="s">
        <v>41</v>
      </c>
      <c r="D835" s="5" t="s">
        <v>32</v>
      </c>
      <c r="E835" s="6">
        <v>9.17</v>
      </c>
      <c r="F835" s="6">
        <v>19.39</v>
      </c>
    </row>
    <row r="836" spans="1:6" x14ac:dyDescent="0.3">
      <c r="A836" s="5" t="s">
        <v>56</v>
      </c>
      <c r="B836" s="5" t="s">
        <v>45</v>
      </c>
      <c r="C836" s="5" t="s">
        <v>41</v>
      </c>
      <c r="D836" s="5" t="s">
        <v>33</v>
      </c>
      <c r="E836" s="6">
        <v>9.07</v>
      </c>
      <c r="F836" s="6">
        <v>20.14</v>
      </c>
    </row>
    <row r="837" spans="1:6" x14ac:dyDescent="0.3">
      <c r="A837" s="5" t="s">
        <v>56</v>
      </c>
      <c r="B837" s="5" t="s">
        <v>45</v>
      </c>
      <c r="C837" s="5" t="s">
        <v>41</v>
      </c>
      <c r="D837" s="5" t="s">
        <v>34</v>
      </c>
      <c r="E837" s="6">
        <v>9.0500000000000007</v>
      </c>
      <c r="F837" s="6">
        <v>19.510000000000002</v>
      </c>
    </row>
    <row r="838" spans="1:6" x14ac:dyDescent="0.3">
      <c r="A838" s="5" t="s">
        <v>56</v>
      </c>
      <c r="B838" s="5" t="s">
        <v>45</v>
      </c>
      <c r="C838" s="5" t="s">
        <v>41</v>
      </c>
      <c r="D838" s="5" t="s">
        <v>35</v>
      </c>
      <c r="E838" s="6">
        <v>9.4700000000000006</v>
      </c>
      <c r="F838" s="6">
        <v>20.46</v>
      </c>
    </row>
    <row r="839" spans="1:6" x14ac:dyDescent="0.3">
      <c r="A839" s="5" t="s">
        <v>56</v>
      </c>
      <c r="B839" s="5" t="s">
        <v>45</v>
      </c>
      <c r="C839" s="5" t="s">
        <v>41</v>
      </c>
      <c r="D839" s="5" t="s">
        <v>36</v>
      </c>
      <c r="E839" s="6">
        <v>10.1</v>
      </c>
      <c r="F839" s="6">
        <v>21.95</v>
      </c>
    </row>
    <row r="840" spans="1:6" x14ac:dyDescent="0.3">
      <c r="A840" s="5" t="s">
        <v>56</v>
      </c>
      <c r="B840" s="5" t="s">
        <v>45</v>
      </c>
      <c r="C840" s="5" t="s">
        <v>41</v>
      </c>
      <c r="D840" s="5" t="s">
        <v>37</v>
      </c>
      <c r="E840" s="6">
        <v>9.31</v>
      </c>
      <c r="F840" s="6">
        <v>18.920000000000002</v>
      </c>
    </row>
    <row r="841" spans="1:6" x14ac:dyDescent="0.3">
      <c r="A841" s="5" t="s">
        <v>56</v>
      </c>
      <c r="B841" s="5" t="s">
        <v>45</v>
      </c>
      <c r="C841" s="5" t="s">
        <v>41</v>
      </c>
      <c r="D841" s="5" t="s">
        <v>38</v>
      </c>
      <c r="E841" s="6">
        <v>11.06</v>
      </c>
      <c r="F841" s="6">
        <v>23.11</v>
      </c>
    </row>
    <row r="842" spans="1:6" x14ac:dyDescent="0.3">
      <c r="A842" s="5" t="s">
        <v>56</v>
      </c>
      <c r="B842" s="5" t="s">
        <v>47</v>
      </c>
      <c r="C842" s="5" t="s">
        <v>41</v>
      </c>
      <c r="D842" s="5" t="s">
        <v>29</v>
      </c>
      <c r="E842" s="6">
        <v>21.6</v>
      </c>
      <c r="F842" s="6">
        <v>1401.69</v>
      </c>
    </row>
    <row r="843" spans="1:6" x14ac:dyDescent="0.3">
      <c r="A843" s="5" t="s">
        <v>56</v>
      </c>
      <c r="B843" s="5" t="s">
        <v>47</v>
      </c>
      <c r="C843" s="5" t="s">
        <v>41</v>
      </c>
      <c r="D843" s="5" t="s">
        <v>30</v>
      </c>
      <c r="E843" s="6">
        <v>22.34</v>
      </c>
      <c r="F843" s="6">
        <v>1770.33</v>
      </c>
    </row>
    <row r="844" spans="1:6" x14ac:dyDescent="0.3">
      <c r="A844" s="5" t="s">
        <v>56</v>
      </c>
      <c r="B844" s="5" t="s">
        <v>47</v>
      </c>
      <c r="C844" s="5" t="s">
        <v>41</v>
      </c>
      <c r="D844" s="5" t="s">
        <v>31</v>
      </c>
      <c r="E844" s="6">
        <v>22.24</v>
      </c>
      <c r="F844" s="6">
        <v>1797.15</v>
      </c>
    </row>
    <row r="845" spans="1:6" x14ac:dyDescent="0.3">
      <c r="A845" s="5" t="s">
        <v>56</v>
      </c>
      <c r="B845" s="5" t="s">
        <v>47</v>
      </c>
      <c r="C845" s="5" t="s">
        <v>41</v>
      </c>
      <c r="D845" s="5" t="s">
        <v>32</v>
      </c>
      <c r="E845" s="6">
        <v>22.08</v>
      </c>
      <c r="F845" s="6">
        <v>1795.39</v>
      </c>
    </row>
    <row r="846" spans="1:6" x14ac:dyDescent="0.3">
      <c r="A846" s="5" t="s">
        <v>56</v>
      </c>
      <c r="B846" s="5" t="s">
        <v>47</v>
      </c>
      <c r="C846" s="5" t="s">
        <v>41</v>
      </c>
      <c r="D846" s="5" t="s">
        <v>33</v>
      </c>
      <c r="E846" s="6">
        <v>21.8</v>
      </c>
      <c r="F846" s="6">
        <v>1783.39</v>
      </c>
    </row>
    <row r="847" spans="1:6" x14ac:dyDescent="0.3">
      <c r="A847" s="5" t="s">
        <v>56</v>
      </c>
      <c r="B847" s="5" t="s">
        <v>47</v>
      </c>
      <c r="C847" s="5" t="s">
        <v>41</v>
      </c>
      <c r="D847" s="5" t="s">
        <v>34</v>
      </c>
      <c r="E847" s="6">
        <v>21.77</v>
      </c>
      <c r="F847" s="6">
        <v>1791.67</v>
      </c>
    </row>
    <row r="848" spans="1:6" x14ac:dyDescent="0.3">
      <c r="A848" s="5" t="s">
        <v>56</v>
      </c>
      <c r="B848" s="5" t="s">
        <v>47</v>
      </c>
      <c r="C848" s="5" t="s">
        <v>41</v>
      </c>
      <c r="D848" s="5" t="s">
        <v>35</v>
      </c>
      <c r="E848" s="6">
        <v>27.95</v>
      </c>
      <c r="F848" s="6">
        <v>2242.46</v>
      </c>
    </row>
    <row r="849" spans="1:6" x14ac:dyDescent="0.3">
      <c r="A849" s="5" t="s">
        <v>56</v>
      </c>
      <c r="B849" s="5" t="s">
        <v>47</v>
      </c>
      <c r="C849" s="5" t="s">
        <v>41</v>
      </c>
      <c r="D849" s="5" t="s">
        <v>36</v>
      </c>
      <c r="E849" s="6">
        <v>26.53</v>
      </c>
      <c r="F849" s="6">
        <v>2158.11</v>
      </c>
    </row>
    <row r="850" spans="1:6" x14ac:dyDescent="0.3">
      <c r="A850" s="5" t="s">
        <v>56</v>
      </c>
      <c r="B850" s="5" t="s">
        <v>47</v>
      </c>
      <c r="C850" s="5" t="s">
        <v>41</v>
      </c>
      <c r="D850" s="5" t="s">
        <v>37</v>
      </c>
      <c r="E850" s="6">
        <v>27.2</v>
      </c>
      <c r="F850" s="6">
        <v>2208.0100000000002</v>
      </c>
    </row>
    <row r="851" spans="1:6" x14ac:dyDescent="0.3">
      <c r="A851" s="5" t="s">
        <v>56</v>
      </c>
      <c r="B851" s="5" t="s">
        <v>47</v>
      </c>
      <c r="C851" s="5" t="s">
        <v>41</v>
      </c>
      <c r="D851" s="5" t="s">
        <v>38</v>
      </c>
      <c r="E851" s="6">
        <v>28.02</v>
      </c>
      <c r="F851" s="6">
        <v>2296.9899999999998</v>
      </c>
    </row>
    <row r="852" spans="1:6" x14ac:dyDescent="0.3">
      <c r="A852" s="5" t="s">
        <v>57</v>
      </c>
      <c r="B852" s="5" t="s">
        <v>27</v>
      </c>
      <c r="C852" s="5" t="s">
        <v>28</v>
      </c>
      <c r="D852" s="5" t="s">
        <v>29</v>
      </c>
      <c r="E852" s="6">
        <v>78.42</v>
      </c>
      <c r="F852" s="6">
        <v>189.19</v>
      </c>
    </row>
    <row r="853" spans="1:6" x14ac:dyDescent="0.3">
      <c r="A853" s="5" t="s">
        <v>57</v>
      </c>
      <c r="B853" s="5" t="s">
        <v>27</v>
      </c>
      <c r="C853" s="5" t="s">
        <v>28</v>
      </c>
      <c r="D853" s="5" t="s">
        <v>30</v>
      </c>
      <c r="E853" s="6">
        <v>74.34</v>
      </c>
      <c r="F853" s="6">
        <v>201.18</v>
      </c>
    </row>
    <row r="854" spans="1:6" x14ac:dyDescent="0.3">
      <c r="A854" s="5" t="s">
        <v>57</v>
      </c>
      <c r="B854" s="5" t="s">
        <v>27</v>
      </c>
      <c r="C854" s="5" t="s">
        <v>28</v>
      </c>
      <c r="D854" s="5" t="s">
        <v>31</v>
      </c>
      <c r="E854" s="6">
        <v>73.31</v>
      </c>
      <c r="F854" s="6">
        <v>194.14</v>
      </c>
    </row>
    <row r="855" spans="1:6" x14ac:dyDescent="0.3">
      <c r="A855" s="5" t="s">
        <v>57</v>
      </c>
      <c r="B855" s="5" t="s">
        <v>27</v>
      </c>
      <c r="C855" s="5" t="s">
        <v>28</v>
      </c>
      <c r="D855" s="5" t="s">
        <v>32</v>
      </c>
      <c r="E855" s="6">
        <v>75.53</v>
      </c>
      <c r="F855" s="6">
        <v>194.29</v>
      </c>
    </row>
    <row r="856" spans="1:6" x14ac:dyDescent="0.3">
      <c r="A856" s="5" t="s">
        <v>57</v>
      </c>
      <c r="B856" s="5" t="s">
        <v>27</v>
      </c>
      <c r="C856" s="5" t="s">
        <v>28</v>
      </c>
      <c r="D856" s="5" t="s">
        <v>33</v>
      </c>
      <c r="E856" s="6">
        <v>77.55</v>
      </c>
      <c r="F856" s="6">
        <v>215.55</v>
      </c>
    </row>
    <row r="857" spans="1:6" x14ac:dyDescent="0.3">
      <c r="A857" s="5" t="s">
        <v>57</v>
      </c>
      <c r="B857" s="5" t="s">
        <v>27</v>
      </c>
      <c r="C857" s="5" t="s">
        <v>28</v>
      </c>
      <c r="D857" s="5" t="s">
        <v>34</v>
      </c>
      <c r="E857" s="6">
        <v>77.849999999999994</v>
      </c>
      <c r="F857" s="6">
        <v>226.81</v>
      </c>
    </row>
    <row r="858" spans="1:6" x14ac:dyDescent="0.3">
      <c r="A858" s="5" t="s">
        <v>57</v>
      </c>
      <c r="B858" s="5" t="s">
        <v>27</v>
      </c>
      <c r="C858" s="5" t="s">
        <v>28</v>
      </c>
      <c r="D858" s="5" t="s">
        <v>35</v>
      </c>
      <c r="E858" s="6">
        <v>80.53</v>
      </c>
      <c r="F858" s="6">
        <v>236.74</v>
      </c>
    </row>
    <row r="859" spans="1:6" x14ac:dyDescent="0.3">
      <c r="A859" s="5" t="s">
        <v>57</v>
      </c>
      <c r="B859" s="5" t="s">
        <v>27</v>
      </c>
      <c r="C859" s="5" t="s">
        <v>28</v>
      </c>
      <c r="D859" s="5" t="s">
        <v>36</v>
      </c>
      <c r="E859" s="6">
        <v>83.29</v>
      </c>
      <c r="F859" s="6">
        <v>222.45</v>
      </c>
    </row>
    <row r="860" spans="1:6" x14ac:dyDescent="0.3">
      <c r="A860" s="5" t="s">
        <v>57</v>
      </c>
      <c r="B860" s="5" t="s">
        <v>27</v>
      </c>
      <c r="C860" s="5" t="s">
        <v>28</v>
      </c>
      <c r="D860" s="5" t="s">
        <v>37</v>
      </c>
      <c r="E860" s="6">
        <v>84.61</v>
      </c>
      <c r="F860" s="6">
        <v>248.08</v>
      </c>
    </row>
    <row r="861" spans="1:6" x14ac:dyDescent="0.3">
      <c r="A861" s="5" t="s">
        <v>57</v>
      </c>
      <c r="B861" s="5" t="s">
        <v>27</v>
      </c>
      <c r="C861" s="5" t="s">
        <v>28</v>
      </c>
      <c r="D861" s="5" t="s">
        <v>38</v>
      </c>
      <c r="E861" s="6">
        <v>98.61</v>
      </c>
      <c r="F861" s="6">
        <v>305.08999999999997</v>
      </c>
    </row>
    <row r="862" spans="1:6" x14ac:dyDescent="0.3">
      <c r="A862" s="5" t="s">
        <v>57</v>
      </c>
      <c r="B862" s="5" t="s">
        <v>27</v>
      </c>
      <c r="C862" s="5" t="s">
        <v>39</v>
      </c>
      <c r="D862" s="5" t="s">
        <v>29</v>
      </c>
      <c r="E862" s="6">
        <v>17.920000000000002</v>
      </c>
      <c r="F862" s="6">
        <v>69.81</v>
      </c>
    </row>
    <row r="863" spans="1:6" x14ac:dyDescent="0.3">
      <c r="A863" s="5" t="s">
        <v>57</v>
      </c>
      <c r="B863" s="5" t="s">
        <v>27</v>
      </c>
      <c r="C863" s="5" t="s">
        <v>39</v>
      </c>
      <c r="D863" s="5" t="s">
        <v>30</v>
      </c>
      <c r="E863" s="6">
        <v>19.46</v>
      </c>
      <c r="F863" s="6">
        <v>86.34</v>
      </c>
    </row>
    <row r="864" spans="1:6" x14ac:dyDescent="0.3">
      <c r="A864" s="5" t="s">
        <v>57</v>
      </c>
      <c r="B864" s="5" t="s">
        <v>27</v>
      </c>
      <c r="C864" s="5" t="s">
        <v>39</v>
      </c>
      <c r="D864" s="5" t="s">
        <v>31</v>
      </c>
      <c r="E864" s="6">
        <v>16.97</v>
      </c>
      <c r="F864" s="6">
        <v>83.02</v>
      </c>
    </row>
    <row r="865" spans="1:6" x14ac:dyDescent="0.3">
      <c r="A865" s="5" t="s">
        <v>57</v>
      </c>
      <c r="B865" s="5" t="s">
        <v>27</v>
      </c>
      <c r="C865" s="5" t="s">
        <v>39</v>
      </c>
      <c r="D865" s="5" t="s">
        <v>32</v>
      </c>
      <c r="E865" s="6">
        <v>20.16</v>
      </c>
      <c r="F865" s="6">
        <v>93.37</v>
      </c>
    </row>
    <row r="866" spans="1:6" x14ac:dyDescent="0.3">
      <c r="A866" s="5" t="s">
        <v>57</v>
      </c>
      <c r="B866" s="5" t="s">
        <v>27</v>
      </c>
      <c r="C866" s="5" t="s">
        <v>39</v>
      </c>
      <c r="D866" s="5" t="s">
        <v>33</v>
      </c>
      <c r="E866" s="6">
        <v>21.37</v>
      </c>
      <c r="F866" s="6">
        <v>100.92</v>
      </c>
    </row>
    <row r="867" spans="1:6" x14ac:dyDescent="0.3">
      <c r="A867" s="5" t="s">
        <v>57</v>
      </c>
      <c r="B867" s="5" t="s">
        <v>27</v>
      </c>
      <c r="C867" s="5" t="s">
        <v>39</v>
      </c>
      <c r="D867" s="5" t="s">
        <v>34</v>
      </c>
      <c r="E867" s="6">
        <v>21.73</v>
      </c>
      <c r="F867" s="6">
        <v>110.49</v>
      </c>
    </row>
    <row r="868" spans="1:6" x14ac:dyDescent="0.3">
      <c r="A868" s="5" t="s">
        <v>57</v>
      </c>
      <c r="B868" s="5" t="s">
        <v>27</v>
      </c>
      <c r="C868" s="5" t="s">
        <v>39</v>
      </c>
      <c r="D868" s="5" t="s">
        <v>35</v>
      </c>
      <c r="E868" s="6">
        <v>21.83</v>
      </c>
      <c r="F868" s="6">
        <v>116.9</v>
      </c>
    </row>
    <row r="869" spans="1:6" x14ac:dyDescent="0.3">
      <c r="A869" s="5" t="s">
        <v>57</v>
      </c>
      <c r="B869" s="5" t="s">
        <v>27</v>
      </c>
      <c r="C869" s="5" t="s">
        <v>39</v>
      </c>
      <c r="D869" s="5" t="s">
        <v>36</v>
      </c>
      <c r="E869" s="6">
        <v>21.75</v>
      </c>
      <c r="F869" s="6">
        <v>120.28</v>
      </c>
    </row>
    <row r="870" spans="1:6" x14ac:dyDescent="0.3">
      <c r="A870" s="5" t="s">
        <v>57</v>
      </c>
      <c r="B870" s="5" t="s">
        <v>27</v>
      </c>
      <c r="C870" s="5" t="s">
        <v>39</v>
      </c>
      <c r="D870" s="5" t="s">
        <v>37</v>
      </c>
      <c r="E870" s="6">
        <v>27.8</v>
      </c>
      <c r="F870" s="6">
        <v>147.53</v>
      </c>
    </row>
    <row r="871" spans="1:6" x14ac:dyDescent="0.3">
      <c r="A871" s="5" t="s">
        <v>57</v>
      </c>
      <c r="B871" s="5" t="s">
        <v>27</v>
      </c>
      <c r="C871" s="5" t="s">
        <v>39</v>
      </c>
      <c r="D871" s="5" t="s">
        <v>38</v>
      </c>
      <c r="E871" s="6">
        <v>34.880000000000003</v>
      </c>
      <c r="F871" s="6">
        <v>200.25</v>
      </c>
    </row>
    <row r="872" spans="1:6" x14ac:dyDescent="0.3">
      <c r="A872" s="5" t="s">
        <v>57</v>
      </c>
      <c r="B872" s="5" t="s">
        <v>27</v>
      </c>
      <c r="C872" s="5" t="s">
        <v>40</v>
      </c>
      <c r="D872" s="5" t="s">
        <v>29</v>
      </c>
      <c r="E872" s="6"/>
      <c r="F872" s="6"/>
    </row>
    <row r="873" spans="1:6" x14ac:dyDescent="0.3">
      <c r="A873" s="5" t="s">
        <v>57</v>
      </c>
      <c r="B873" s="5" t="s">
        <v>27</v>
      </c>
      <c r="C873" s="5" t="s">
        <v>40</v>
      </c>
      <c r="D873" s="5" t="s">
        <v>30</v>
      </c>
      <c r="E873" s="6"/>
      <c r="F873" s="6"/>
    </row>
    <row r="874" spans="1:6" x14ac:dyDescent="0.3">
      <c r="A874" s="5" t="s">
        <v>57</v>
      </c>
      <c r="B874" s="5" t="s">
        <v>27</v>
      </c>
      <c r="C874" s="5" t="s">
        <v>40</v>
      </c>
      <c r="D874" s="5" t="s">
        <v>31</v>
      </c>
      <c r="E874" s="6"/>
      <c r="F874" s="6"/>
    </row>
    <row r="875" spans="1:6" x14ac:dyDescent="0.3">
      <c r="A875" s="5" t="s">
        <v>57</v>
      </c>
      <c r="B875" s="5" t="s">
        <v>27</v>
      </c>
      <c r="C875" s="5" t="s">
        <v>40</v>
      </c>
      <c r="D875" s="5" t="s">
        <v>32</v>
      </c>
      <c r="E875" s="6"/>
      <c r="F875" s="6"/>
    </row>
    <row r="876" spans="1:6" x14ac:dyDescent="0.3">
      <c r="A876" s="5" t="s">
        <v>57</v>
      </c>
      <c r="B876" s="5" t="s">
        <v>27</v>
      </c>
      <c r="C876" s="5" t="s">
        <v>40</v>
      </c>
      <c r="D876" s="5" t="s">
        <v>33</v>
      </c>
      <c r="E876" s="6"/>
      <c r="F876" s="6"/>
    </row>
    <row r="877" spans="1:6" x14ac:dyDescent="0.3">
      <c r="A877" s="5" t="s">
        <v>57</v>
      </c>
      <c r="B877" s="5" t="s">
        <v>27</v>
      </c>
      <c r="C877" s="5" t="s">
        <v>40</v>
      </c>
      <c r="D877" s="5" t="s">
        <v>34</v>
      </c>
      <c r="E877" s="6"/>
      <c r="F877" s="6"/>
    </row>
    <row r="878" spans="1:6" x14ac:dyDescent="0.3">
      <c r="A878" s="5" t="s">
        <v>57</v>
      </c>
      <c r="B878" s="5" t="s">
        <v>27</v>
      </c>
      <c r="C878" s="5" t="s">
        <v>40</v>
      </c>
      <c r="D878" s="5" t="s">
        <v>35</v>
      </c>
      <c r="E878" s="6">
        <v>5.08</v>
      </c>
      <c r="F878" s="6">
        <v>27.21</v>
      </c>
    </row>
    <row r="879" spans="1:6" x14ac:dyDescent="0.3">
      <c r="A879" s="5" t="s">
        <v>57</v>
      </c>
      <c r="B879" s="5" t="s">
        <v>27</v>
      </c>
      <c r="C879" s="5" t="s">
        <v>40</v>
      </c>
      <c r="D879" s="5" t="s">
        <v>36</v>
      </c>
      <c r="E879" s="6">
        <v>7.37</v>
      </c>
      <c r="F879" s="6">
        <v>33.92</v>
      </c>
    </row>
    <row r="880" spans="1:6" x14ac:dyDescent="0.3">
      <c r="A880" s="5" t="s">
        <v>57</v>
      </c>
      <c r="B880" s="5" t="s">
        <v>27</v>
      </c>
      <c r="C880" s="5" t="s">
        <v>40</v>
      </c>
      <c r="D880" s="5" t="s">
        <v>37</v>
      </c>
      <c r="E880" s="6">
        <v>8.5</v>
      </c>
      <c r="F880" s="6">
        <v>38.47</v>
      </c>
    </row>
    <row r="881" spans="1:6" x14ac:dyDescent="0.3">
      <c r="A881" s="5" t="s">
        <v>57</v>
      </c>
      <c r="B881" s="5" t="s">
        <v>27</v>
      </c>
      <c r="C881" s="5" t="s">
        <v>40</v>
      </c>
      <c r="D881" s="5" t="s">
        <v>38</v>
      </c>
      <c r="E881" s="6">
        <v>10.58</v>
      </c>
      <c r="F881" s="6">
        <v>45.59</v>
      </c>
    </row>
    <row r="882" spans="1:6" x14ac:dyDescent="0.3">
      <c r="A882" s="5" t="s">
        <v>57</v>
      </c>
      <c r="B882" s="5" t="s">
        <v>27</v>
      </c>
      <c r="C882" s="5" t="s">
        <v>41</v>
      </c>
      <c r="D882" s="5" t="s">
        <v>29</v>
      </c>
      <c r="E882" s="6">
        <v>96.33</v>
      </c>
      <c r="F882" s="6">
        <v>259</v>
      </c>
    </row>
    <row r="883" spans="1:6" x14ac:dyDescent="0.3">
      <c r="A883" s="5" t="s">
        <v>57</v>
      </c>
      <c r="B883" s="5" t="s">
        <v>27</v>
      </c>
      <c r="C883" s="5" t="s">
        <v>41</v>
      </c>
      <c r="D883" s="5" t="s">
        <v>30</v>
      </c>
      <c r="E883" s="6">
        <v>93.8</v>
      </c>
      <c r="F883" s="6">
        <v>287.52999999999997</v>
      </c>
    </row>
    <row r="884" spans="1:6" x14ac:dyDescent="0.3">
      <c r="A884" s="5" t="s">
        <v>57</v>
      </c>
      <c r="B884" s="5" t="s">
        <v>27</v>
      </c>
      <c r="C884" s="5" t="s">
        <v>41</v>
      </c>
      <c r="D884" s="5" t="s">
        <v>31</v>
      </c>
      <c r="E884" s="6">
        <v>90.27</v>
      </c>
      <c r="F884" s="6">
        <v>277.14999999999998</v>
      </c>
    </row>
    <row r="885" spans="1:6" x14ac:dyDescent="0.3">
      <c r="A885" s="5" t="s">
        <v>57</v>
      </c>
      <c r="B885" s="5" t="s">
        <v>27</v>
      </c>
      <c r="C885" s="5" t="s">
        <v>41</v>
      </c>
      <c r="D885" s="5" t="s">
        <v>32</v>
      </c>
      <c r="E885" s="6">
        <v>95.69</v>
      </c>
      <c r="F885" s="6">
        <v>287.66000000000003</v>
      </c>
    </row>
    <row r="886" spans="1:6" x14ac:dyDescent="0.3">
      <c r="A886" s="5" t="s">
        <v>57</v>
      </c>
      <c r="B886" s="5" t="s">
        <v>27</v>
      </c>
      <c r="C886" s="5" t="s">
        <v>41</v>
      </c>
      <c r="D886" s="5" t="s">
        <v>33</v>
      </c>
      <c r="E886" s="6">
        <v>98.92</v>
      </c>
      <c r="F886" s="6">
        <v>316.47000000000003</v>
      </c>
    </row>
    <row r="887" spans="1:6" x14ac:dyDescent="0.3">
      <c r="A887" s="5" t="s">
        <v>57</v>
      </c>
      <c r="B887" s="5" t="s">
        <v>27</v>
      </c>
      <c r="C887" s="5" t="s">
        <v>41</v>
      </c>
      <c r="D887" s="5" t="s">
        <v>34</v>
      </c>
      <c r="E887" s="6">
        <v>99.58</v>
      </c>
      <c r="F887" s="6">
        <v>337.3</v>
      </c>
    </row>
    <row r="888" spans="1:6" x14ac:dyDescent="0.3">
      <c r="A888" s="5" t="s">
        <v>57</v>
      </c>
      <c r="B888" s="5" t="s">
        <v>27</v>
      </c>
      <c r="C888" s="5" t="s">
        <v>41</v>
      </c>
      <c r="D888" s="5" t="s">
        <v>35</v>
      </c>
      <c r="E888" s="6">
        <v>107.44</v>
      </c>
      <c r="F888" s="6">
        <v>380.85</v>
      </c>
    </row>
    <row r="889" spans="1:6" x14ac:dyDescent="0.3">
      <c r="A889" s="5" t="s">
        <v>57</v>
      </c>
      <c r="B889" s="5" t="s">
        <v>27</v>
      </c>
      <c r="C889" s="5" t="s">
        <v>41</v>
      </c>
      <c r="D889" s="5" t="s">
        <v>36</v>
      </c>
      <c r="E889" s="6">
        <v>112.41</v>
      </c>
      <c r="F889" s="6">
        <v>376.65</v>
      </c>
    </row>
    <row r="890" spans="1:6" x14ac:dyDescent="0.3">
      <c r="A890" s="5" t="s">
        <v>57</v>
      </c>
      <c r="B890" s="5" t="s">
        <v>27</v>
      </c>
      <c r="C890" s="5" t="s">
        <v>41</v>
      </c>
      <c r="D890" s="5" t="s">
        <v>37</v>
      </c>
      <c r="E890" s="6">
        <v>120.91</v>
      </c>
      <c r="F890" s="6">
        <v>434.09</v>
      </c>
    </row>
    <row r="891" spans="1:6" x14ac:dyDescent="0.3">
      <c r="A891" s="5" t="s">
        <v>57</v>
      </c>
      <c r="B891" s="5" t="s">
        <v>27</v>
      </c>
      <c r="C891" s="5" t="s">
        <v>41</v>
      </c>
      <c r="D891" s="5" t="s">
        <v>38</v>
      </c>
      <c r="E891" s="6">
        <v>144.08000000000001</v>
      </c>
      <c r="F891" s="6">
        <v>550.92999999999995</v>
      </c>
    </row>
    <row r="892" spans="1:6" x14ac:dyDescent="0.3">
      <c r="A892" s="5" t="s">
        <v>57</v>
      </c>
      <c r="B892" s="5" t="s">
        <v>42</v>
      </c>
      <c r="C892" s="5" t="s">
        <v>41</v>
      </c>
      <c r="D892" s="5" t="s">
        <v>29</v>
      </c>
      <c r="E892" s="6">
        <v>439.93</v>
      </c>
      <c r="F892" s="6">
        <v>1096.98</v>
      </c>
    </row>
    <row r="893" spans="1:6" x14ac:dyDescent="0.3">
      <c r="A893" s="5" t="s">
        <v>57</v>
      </c>
      <c r="B893" s="5" t="s">
        <v>42</v>
      </c>
      <c r="C893" s="5" t="s">
        <v>41</v>
      </c>
      <c r="D893" s="5" t="s">
        <v>30</v>
      </c>
      <c r="E893" s="6">
        <v>437.74</v>
      </c>
      <c r="F893" s="6">
        <v>1127.58</v>
      </c>
    </row>
    <row r="894" spans="1:6" x14ac:dyDescent="0.3">
      <c r="A894" s="5" t="s">
        <v>57</v>
      </c>
      <c r="B894" s="5" t="s">
        <v>42</v>
      </c>
      <c r="C894" s="5" t="s">
        <v>41</v>
      </c>
      <c r="D894" s="5" t="s">
        <v>31</v>
      </c>
      <c r="E894" s="6">
        <v>441.56</v>
      </c>
      <c r="F894" s="6">
        <v>1164.78</v>
      </c>
    </row>
    <row r="895" spans="1:6" x14ac:dyDescent="0.3">
      <c r="A895" s="5" t="s">
        <v>57</v>
      </c>
      <c r="B895" s="5" t="s">
        <v>42</v>
      </c>
      <c r="C895" s="5" t="s">
        <v>41</v>
      </c>
      <c r="D895" s="5" t="s">
        <v>32</v>
      </c>
      <c r="E895" s="6">
        <v>436.62</v>
      </c>
      <c r="F895" s="6">
        <v>1188.7</v>
      </c>
    </row>
    <row r="896" spans="1:6" x14ac:dyDescent="0.3">
      <c r="A896" s="5" t="s">
        <v>57</v>
      </c>
      <c r="B896" s="5" t="s">
        <v>42</v>
      </c>
      <c r="C896" s="5" t="s">
        <v>41</v>
      </c>
      <c r="D896" s="5" t="s">
        <v>33</v>
      </c>
      <c r="E896" s="6">
        <v>457.69</v>
      </c>
      <c r="F896" s="6">
        <v>1243.68</v>
      </c>
    </row>
    <row r="897" spans="1:6" x14ac:dyDescent="0.3">
      <c r="A897" s="5" t="s">
        <v>57</v>
      </c>
      <c r="B897" s="5" t="s">
        <v>42</v>
      </c>
      <c r="C897" s="5" t="s">
        <v>41</v>
      </c>
      <c r="D897" s="5" t="s">
        <v>34</v>
      </c>
      <c r="E897" s="6">
        <v>462.79</v>
      </c>
      <c r="F897" s="6">
        <v>1294.71</v>
      </c>
    </row>
    <row r="898" spans="1:6" x14ac:dyDescent="0.3">
      <c r="A898" s="5" t="s">
        <v>57</v>
      </c>
      <c r="B898" s="5" t="s">
        <v>42</v>
      </c>
      <c r="C898" s="5" t="s">
        <v>41</v>
      </c>
      <c r="D898" s="5" t="s">
        <v>35</v>
      </c>
      <c r="E898" s="6">
        <v>478.32</v>
      </c>
      <c r="F898" s="6">
        <v>1357.55</v>
      </c>
    </row>
    <row r="899" spans="1:6" x14ac:dyDescent="0.3">
      <c r="A899" s="5" t="s">
        <v>57</v>
      </c>
      <c r="B899" s="5" t="s">
        <v>42</v>
      </c>
      <c r="C899" s="5" t="s">
        <v>41</v>
      </c>
      <c r="D899" s="5" t="s">
        <v>36</v>
      </c>
      <c r="E899" s="6">
        <v>478.28</v>
      </c>
      <c r="F899" s="6">
        <v>1378.25</v>
      </c>
    </row>
    <row r="900" spans="1:6" x14ac:dyDescent="0.3">
      <c r="A900" s="5" t="s">
        <v>57</v>
      </c>
      <c r="B900" s="5" t="s">
        <v>42</v>
      </c>
      <c r="C900" s="5" t="s">
        <v>41</v>
      </c>
      <c r="D900" s="5" t="s">
        <v>37</v>
      </c>
      <c r="E900" s="6">
        <v>512.66999999999996</v>
      </c>
      <c r="F900" s="6">
        <v>1501.84</v>
      </c>
    </row>
    <row r="901" spans="1:6" x14ac:dyDescent="0.3">
      <c r="A901" s="5" t="s">
        <v>57</v>
      </c>
      <c r="B901" s="5" t="s">
        <v>42</v>
      </c>
      <c r="C901" s="5" t="s">
        <v>41</v>
      </c>
      <c r="D901" s="5" t="s">
        <v>38</v>
      </c>
      <c r="E901" s="6">
        <v>528.32000000000005</v>
      </c>
      <c r="F901" s="6">
        <v>1540.24</v>
      </c>
    </row>
    <row r="902" spans="1:6" x14ac:dyDescent="0.3">
      <c r="A902" s="5" t="s">
        <v>57</v>
      </c>
      <c r="B902" s="5" t="s">
        <v>43</v>
      </c>
      <c r="C902" s="5" t="s">
        <v>41</v>
      </c>
      <c r="D902" s="5" t="s">
        <v>29</v>
      </c>
      <c r="E902" s="6">
        <v>307.85000000000002</v>
      </c>
      <c r="F902" s="6">
        <v>985.1</v>
      </c>
    </row>
    <row r="903" spans="1:6" x14ac:dyDescent="0.3">
      <c r="A903" s="5" t="s">
        <v>57</v>
      </c>
      <c r="B903" s="5" t="s">
        <v>43</v>
      </c>
      <c r="C903" s="5" t="s">
        <v>41</v>
      </c>
      <c r="D903" s="5" t="s">
        <v>30</v>
      </c>
      <c r="E903" s="6">
        <v>296.51</v>
      </c>
      <c r="F903" s="6">
        <v>998.7</v>
      </c>
    </row>
    <row r="904" spans="1:6" x14ac:dyDescent="0.3">
      <c r="A904" s="5" t="s">
        <v>57</v>
      </c>
      <c r="B904" s="5" t="s">
        <v>43</v>
      </c>
      <c r="C904" s="5" t="s">
        <v>41</v>
      </c>
      <c r="D904" s="5" t="s">
        <v>31</v>
      </c>
      <c r="E904" s="6">
        <v>293.19</v>
      </c>
      <c r="F904" s="6">
        <v>1035.96</v>
      </c>
    </row>
    <row r="905" spans="1:6" x14ac:dyDescent="0.3">
      <c r="A905" s="5" t="s">
        <v>57</v>
      </c>
      <c r="B905" s="5" t="s">
        <v>43</v>
      </c>
      <c r="C905" s="5" t="s">
        <v>41</v>
      </c>
      <c r="D905" s="5" t="s">
        <v>32</v>
      </c>
      <c r="E905" s="6">
        <v>313.57</v>
      </c>
      <c r="F905" s="6">
        <v>1078.6099999999999</v>
      </c>
    </row>
    <row r="906" spans="1:6" x14ac:dyDescent="0.3">
      <c r="A906" s="5" t="s">
        <v>57</v>
      </c>
      <c r="B906" s="5" t="s">
        <v>43</v>
      </c>
      <c r="C906" s="5" t="s">
        <v>41</v>
      </c>
      <c r="D906" s="5" t="s">
        <v>33</v>
      </c>
      <c r="E906" s="6">
        <v>311.25</v>
      </c>
      <c r="F906" s="6">
        <v>1095.8599999999999</v>
      </c>
    </row>
    <row r="907" spans="1:6" x14ac:dyDescent="0.3">
      <c r="A907" s="5" t="s">
        <v>57</v>
      </c>
      <c r="B907" s="5" t="s">
        <v>43</v>
      </c>
      <c r="C907" s="5" t="s">
        <v>41</v>
      </c>
      <c r="D907" s="5" t="s">
        <v>34</v>
      </c>
      <c r="E907" s="6">
        <v>304.58999999999997</v>
      </c>
      <c r="F907" s="6">
        <v>1077.42</v>
      </c>
    </row>
    <row r="908" spans="1:6" x14ac:dyDescent="0.3">
      <c r="A908" s="5" t="s">
        <v>57</v>
      </c>
      <c r="B908" s="5" t="s">
        <v>43</v>
      </c>
      <c r="C908" s="5" t="s">
        <v>41</v>
      </c>
      <c r="D908" s="5" t="s">
        <v>35</v>
      </c>
      <c r="E908" s="6">
        <v>314.01</v>
      </c>
      <c r="F908" s="6">
        <v>1105.54</v>
      </c>
    </row>
    <row r="909" spans="1:6" x14ac:dyDescent="0.3">
      <c r="A909" s="5" t="s">
        <v>57</v>
      </c>
      <c r="B909" s="5" t="s">
        <v>43</v>
      </c>
      <c r="C909" s="5" t="s">
        <v>41</v>
      </c>
      <c r="D909" s="5" t="s">
        <v>36</v>
      </c>
      <c r="E909" s="6">
        <v>318.33</v>
      </c>
      <c r="F909" s="6">
        <v>1132.92</v>
      </c>
    </row>
    <row r="910" spans="1:6" x14ac:dyDescent="0.3">
      <c r="A910" s="5" t="s">
        <v>57</v>
      </c>
      <c r="B910" s="5" t="s">
        <v>43</v>
      </c>
      <c r="C910" s="5" t="s">
        <v>41</v>
      </c>
      <c r="D910" s="5" t="s">
        <v>37</v>
      </c>
      <c r="E910" s="6">
        <v>328.04</v>
      </c>
      <c r="F910" s="6">
        <v>1179.45</v>
      </c>
    </row>
    <row r="911" spans="1:6" x14ac:dyDescent="0.3">
      <c r="A911" s="5" t="s">
        <v>57</v>
      </c>
      <c r="B911" s="5" t="s">
        <v>43</v>
      </c>
      <c r="C911" s="5" t="s">
        <v>41</v>
      </c>
      <c r="D911" s="5" t="s">
        <v>38</v>
      </c>
      <c r="E911" s="6">
        <v>336</v>
      </c>
      <c r="F911" s="6">
        <v>1206.57</v>
      </c>
    </row>
    <row r="912" spans="1:6" x14ac:dyDescent="0.3">
      <c r="A912" s="5" t="s">
        <v>57</v>
      </c>
      <c r="B912" s="5" t="s">
        <v>44</v>
      </c>
      <c r="C912" s="5" t="s">
        <v>41</v>
      </c>
      <c r="D912" s="5" t="s">
        <v>29</v>
      </c>
      <c r="E912" s="6">
        <v>56.24</v>
      </c>
      <c r="F912" s="6">
        <v>45.68</v>
      </c>
    </row>
    <row r="913" spans="1:6" x14ac:dyDescent="0.3">
      <c r="A913" s="5" t="s">
        <v>57</v>
      </c>
      <c r="B913" s="5" t="s">
        <v>44</v>
      </c>
      <c r="C913" s="5" t="s">
        <v>41</v>
      </c>
      <c r="D913" s="5" t="s">
        <v>30</v>
      </c>
      <c r="E913" s="6">
        <v>50.24</v>
      </c>
      <c r="F913" s="6">
        <v>48.03</v>
      </c>
    </row>
    <row r="914" spans="1:6" x14ac:dyDescent="0.3">
      <c r="A914" s="5" t="s">
        <v>57</v>
      </c>
      <c r="B914" s="5" t="s">
        <v>44</v>
      </c>
      <c r="C914" s="5" t="s">
        <v>41</v>
      </c>
      <c r="D914" s="5" t="s">
        <v>31</v>
      </c>
      <c r="E914" s="6">
        <v>40.93</v>
      </c>
      <c r="F914" s="6">
        <v>34.75</v>
      </c>
    </row>
    <row r="915" spans="1:6" x14ac:dyDescent="0.3">
      <c r="A915" s="5" t="s">
        <v>57</v>
      </c>
      <c r="B915" s="5" t="s">
        <v>44</v>
      </c>
      <c r="C915" s="5" t="s">
        <v>41</v>
      </c>
      <c r="D915" s="5" t="s">
        <v>32</v>
      </c>
      <c r="E915" s="6">
        <v>48.24</v>
      </c>
      <c r="F915" s="6">
        <v>47.72</v>
      </c>
    </row>
    <row r="916" spans="1:6" x14ac:dyDescent="0.3">
      <c r="A916" s="5" t="s">
        <v>57</v>
      </c>
      <c r="B916" s="5" t="s">
        <v>44</v>
      </c>
      <c r="C916" s="5" t="s">
        <v>41</v>
      </c>
      <c r="D916" s="5" t="s">
        <v>33</v>
      </c>
      <c r="E916" s="6">
        <v>43.78</v>
      </c>
      <c r="F916" s="6">
        <v>48.12</v>
      </c>
    </row>
    <row r="917" spans="1:6" x14ac:dyDescent="0.3">
      <c r="A917" s="5" t="s">
        <v>57</v>
      </c>
      <c r="B917" s="5" t="s">
        <v>44</v>
      </c>
      <c r="C917" s="5" t="s">
        <v>41</v>
      </c>
      <c r="D917" s="5" t="s">
        <v>34</v>
      </c>
      <c r="E917" s="6">
        <v>38.01</v>
      </c>
      <c r="F917" s="6">
        <v>41.51</v>
      </c>
    </row>
    <row r="918" spans="1:6" x14ac:dyDescent="0.3">
      <c r="A918" s="5" t="s">
        <v>57</v>
      </c>
      <c r="B918" s="5" t="s">
        <v>44</v>
      </c>
      <c r="C918" s="5" t="s">
        <v>41</v>
      </c>
      <c r="D918" s="5" t="s">
        <v>35</v>
      </c>
      <c r="E918" s="6">
        <v>35.35</v>
      </c>
      <c r="F918" s="6">
        <v>38.14</v>
      </c>
    </row>
    <row r="919" spans="1:6" x14ac:dyDescent="0.3">
      <c r="A919" s="5" t="s">
        <v>57</v>
      </c>
      <c r="B919" s="5" t="s">
        <v>44</v>
      </c>
      <c r="C919" s="5" t="s">
        <v>41</v>
      </c>
      <c r="D919" s="5" t="s">
        <v>36</v>
      </c>
      <c r="E919" s="6">
        <v>40.76</v>
      </c>
      <c r="F919" s="6">
        <v>47.37</v>
      </c>
    </row>
    <row r="920" spans="1:6" x14ac:dyDescent="0.3">
      <c r="A920" s="5" t="s">
        <v>57</v>
      </c>
      <c r="B920" s="5" t="s">
        <v>44</v>
      </c>
      <c r="C920" s="5" t="s">
        <v>41</v>
      </c>
      <c r="D920" s="5" t="s">
        <v>37</v>
      </c>
      <c r="E920" s="6">
        <v>39.950000000000003</v>
      </c>
      <c r="F920" s="6">
        <v>49.55</v>
      </c>
    </row>
    <row r="921" spans="1:6" x14ac:dyDescent="0.3">
      <c r="A921" s="5" t="s">
        <v>57</v>
      </c>
      <c r="B921" s="5" t="s">
        <v>44</v>
      </c>
      <c r="C921" s="5" t="s">
        <v>41</v>
      </c>
      <c r="D921" s="5" t="s">
        <v>38</v>
      </c>
      <c r="E921" s="6">
        <v>35.479999999999997</v>
      </c>
      <c r="F921" s="6">
        <v>43.56</v>
      </c>
    </row>
    <row r="922" spans="1:6" x14ac:dyDescent="0.3">
      <c r="A922" s="5" t="s">
        <v>57</v>
      </c>
      <c r="B922" s="5" t="s">
        <v>45</v>
      </c>
      <c r="C922" s="5" t="s">
        <v>41</v>
      </c>
      <c r="D922" s="5" t="s">
        <v>29</v>
      </c>
      <c r="E922" s="6">
        <v>74.59</v>
      </c>
      <c r="F922" s="6">
        <v>97.3</v>
      </c>
    </row>
    <row r="923" spans="1:6" x14ac:dyDescent="0.3">
      <c r="A923" s="5" t="s">
        <v>57</v>
      </c>
      <c r="B923" s="5" t="s">
        <v>45</v>
      </c>
      <c r="C923" s="5" t="s">
        <v>41</v>
      </c>
      <c r="D923" s="5" t="s">
        <v>30</v>
      </c>
      <c r="E923" s="6">
        <v>74.81</v>
      </c>
      <c r="F923" s="6">
        <v>92.09</v>
      </c>
    </row>
    <row r="924" spans="1:6" x14ac:dyDescent="0.3">
      <c r="A924" s="5" t="s">
        <v>57</v>
      </c>
      <c r="B924" s="5" t="s">
        <v>45</v>
      </c>
      <c r="C924" s="5" t="s">
        <v>41</v>
      </c>
      <c r="D924" s="5" t="s">
        <v>31</v>
      </c>
      <c r="E924" s="6">
        <v>71.05</v>
      </c>
      <c r="F924" s="6">
        <v>86.64</v>
      </c>
    </row>
    <row r="925" spans="1:6" x14ac:dyDescent="0.3">
      <c r="A925" s="5" t="s">
        <v>57</v>
      </c>
      <c r="B925" s="5" t="s">
        <v>45</v>
      </c>
      <c r="C925" s="5" t="s">
        <v>41</v>
      </c>
      <c r="D925" s="5" t="s">
        <v>32</v>
      </c>
      <c r="E925" s="6">
        <v>75.430000000000007</v>
      </c>
      <c r="F925" s="6">
        <v>103.63</v>
      </c>
    </row>
    <row r="926" spans="1:6" x14ac:dyDescent="0.3">
      <c r="A926" s="5" t="s">
        <v>57</v>
      </c>
      <c r="B926" s="5" t="s">
        <v>45</v>
      </c>
      <c r="C926" s="5" t="s">
        <v>41</v>
      </c>
      <c r="D926" s="5" t="s">
        <v>33</v>
      </c>
      <c r="E926" s="6">
        <v>76.52</v>
      </c>
      <c r="F926" s="6">
        <v>108.63</v>
      </c>
    </row>
    <row r="927" spans="1:6" x14ac:dyDescent="0.3">
      <c r="A927" s="5" t="s">
        <v>57</v>
      </c>
      <c r="B927" s="5" t="s">
        <v>45</v>
      </c>
      <c r="C927" s="5" t="s">
        <v>41</v>
      </c>
      <c r="D927" s="5" t="s">
        <v>34</v>
      </c>
      <c r="E927" s="6">
        <v>68.41</v>
      </c>
      <c r="F927" s="6">
        <v>97.81</v>
      </c>
    </row>
    <row r="928" spans="1:6" x14ac:dyDescent="0.3">
      <c r="A928" s="5" t="s">
        <v>57</v>
      </c>
      <c r="B928" s="5" t="s">
        <v>45</v>
      </c>
      <c r="C928" s="5" t="s">
        <v>41</v>
      </c>
      <c r="D928" s="5" t="s">
        <v>35</v>
      </c>
      <c r="E928" s="6">
        <v>75.72</v>
      </c>
      <c r="F928" s="6">
        <v>114.31</v>
      </c>
    </row>
    <row r="929" spans="1:6" x14ac:dyDescent="0.3">
      <c r="A929" s="5" t="s">
        <v>57</v>
      </c>
      <c r="B929" s="5" t="s">
        <v>45</v>
      </c>
      <c r="C929" s="5" t="s">
        <v>41</v>
      </c>
      <c r="D929" s="5" t="s">
        <v>36</v>
      </c>
      <c r="E929" s="6">
        <v>73.75</v>
      </c>
      <c r="F929" s="6">
        <v>107.16</v>
      </c>
    </row>
    <row r="930" spans="1:6" x14ac:dyDescent="0.3">
      <c r="A930" s="5" t="s">
        <v>57</v>
      </c>
      <c r="B930" s="5" t="s">
        <v>45</v>
      </c>
      <c r="C930" s="5" t="s">
        <v>41</v>
      </c>
      <c r="D930" s="5" t="s">
        <v>37</v>
      </c>
      <c r="E930" s="6">
        <v>73.569999999999993</v>
      </c>
      <c r="F930" s="6">
        <v>112.05</v>
      </c>
    </row>
    <row r="931" spans="1:6" x14ac:dyDescent="0.3">
      <c r="A931" s="5" t="s">
        <v>57</v>
      </c>
      <c r="B931" s="5" t="s">
        <v>45</v>
      </c>
      <c r="C931" s="5" t="s">
        <v>41</v>
      </c>
      <c r="D931" s="5" t="s">
        <v>38</v>
      </c>
      <c r="E931" s="6">
        <v>69.63</v>
      </c>
      <c r="F931" s="6">
        <v>108.48</v>
      </c>
    </row>
    <row r="932" spans="1:6" x14ac:dyDescent="0.3">
      <c r="A932" s="5" t="s">
        <v>57</v>
      </c>
      <c r="B932" s="5" t="s">
        <v>46</v>
      </c>
      <c r="C932" s="5" t="s">
        <v>41</v>
      </c>
      <c r="D932" s="5" t="s">
        <v>29</v>
      </c>
      <c r="E932" s="6">
        <v>10.16</v>
      </c>
      <c r="F932" s="6">
        <v>13.85</v>
      </c>
    </row>
    <row r="933" spans="1:6" x14ac:dyDescent="0.3">
      <c r="A933" s="5" t="s">
        <v>57</v>
      </c>
      <c r="B933" s="5" t="s">
        <v>46</v>
      </c>
      <c r="C933" s="5" t="s">
        <v>41</v>
      </c>
      <c r="D933" s="5" t="s">
        <v>30</v>
      </c>
      <c r="E933" s="6">
        <v>11.94</v>
      </c>
      <c r="F933" s="6">
        <v>19.850000000000001</v>
      </c>
    </row>
    <row r="934" spans="1:6" x14ac:dyDescent="0.3">
      <c r="A934" s="5" t="s">
        <v>57</v>
      </c>
      <c r="B934" s="5" t="s">
        <v>46</v>
      </c>
      <c r="C934" s="5" t="s">
        <v>41</v>
      </c>
      <c r="D934" s="5" t="s">
        <v>31</v>
      </c>
      <c r="E934" s="6">
        <v>8.91</v>
      </c>
      <c r="F934" s="6">
        <v>12.39</v>
      </c>
    </row>
    <row r="935" spans="1:6" x14ac:dyDescent="0.3">
      <c r="A935" s="5" t="s">
        <v>57</v>
      </c>
      <c r="B935" s="5" t="s">
        <v>46</v>
      </c>
      <c r="C935" s="5" t="s">
        <v>41</v>
      </c>
      <c r="D935" s="5" t="s">
        <v>32</v>
      </c>
      <c r="E935" s="6">
        <v>10.039999999999999</v>
      </c>
      <c r="F935" s="6">
        <v>17.55</v>
      </c>
    </row>
    <row r="936" spans="1:6" x14ac:dyDescent="0.3">
      <c r="A936" s="5" t="s">
        <v>57</v>
      </c>
      <c r="B936" s="5" t="s">
        <v>46</v>
      </c>
      <c r="C936" s="5" t="s">
        <v>41</v>
      </c>
      <c r="D936" s="5" t="s">
        <v>33</v>
      </c>
      <c r="E936" s="6">
        <v>11.59</v>
      </c>
      <c r="F936" s="6">
        <v>19.98</v>
      </c>
    </row>
    <row r="937" spans="1:6" x14ac:dyDescent="0.3">
      <c r="A937" s="5" t="s">
        <v>57</v>
      </c>
      <c r="B937" s="5" t="s">
        <v>46</v>
      </c>
      <c r="C937" s="5" t="s">
        <v>41</v>
      </c>
      <c r="D937" s="5" t="s">
        <v>34</v>
      </c>
      <c r="E937" s="6">
        <v>12.18</v>
      </c>
      <c r="F937" s="6">
        <v>17.010000000000002</v>
      </c>
    </row>
    <row r="938" spans="1:6" x14ac:dyDescent="0.3">
      <c r="A938" s="5" t="s">
        <v>57</v>
      </c>
      <c r="B938" s="5" t="s">
        <v>46</v>
      </c>
      <c r="C938" s="5" t="s">
        <v>41</v>
      </c>
      <c r="D938" s="5" t="s">
        <v>35</v>
      </c>
      <c r="E938" s="6">
        <v>11.63</v>
      </c>
      <c r="F938" s="6">
        <v>16.91</v>
      </c>
    </row>
    <row r="939" spans="1:6" x14ac:dyDescent="0.3">
      <c r="A939" s="5" t="s">
        <v>57</v>
      </c>
      <c r="B939" s="5" t="s">
        <v>46</v>
      </c>
      <c r="C939" s="5" t="s">
        <v>41</v>
      </c>
      <c r="D939" s="5" t="s">
        <v>36</v>
      </c>
      <c r="E939" s="6">
        <v>12.15</v>
      </c>
      <c r="F939" s="6">
        <v>16.7</v>
      </c>
    </row>
    <row r="940" spans="1:6" x14ac:dyDescent="0.3">
      <c r="A940" s="5" t="s">
        <v>57</v>
      </c>
      <c r="B940" s="5" t="s">
        <v>46</v>
      </c>
      <c r="C940" s="5" t="s">
        <v>41</v>
      </c>
      <c r="D940" s="5" t="s">
        <v>37</v>
      </c>
      <c r="E940" s="6">
        <v>12.48</v>
      </c>
      <c r="F940" s="6">
        <v>19.77</v>
      </c>
    </row>
    <row r="941" spans="1:6" x14ac:dyDescent="0.3">
      <c r="A941" s="5" t="s">
        <v>57</v>
      </c>
      <c r="B941" s="5" t="s">
        <v>46</v>
      </c>
      <c r="C941" s="5" t="s">
        <v>41</v>
      </c>
      <c r="D941" s="5" t="s">
        <v>38</v>
      </c>
      <c r="E941" s="6">
        <v>13.46</v>
      </c>
      <c r="F941" s="6">
        <v>20</v>
      </c>
    </row>
    <row r="942" spans="1:6" x14ac:dyDescent="0.3">
      <c r="A942" s="5" t="s">
        <v>57</v>
      </c>
      <c r="B942" s="5" t="s">
        <v>47</v>
      </c>
      <c r="C942" s="5" t="s">
        <v>41</v>
      </c>
      <c r="D942" s="5" t="s">
        <v>29</v>
      </c>
      <c r="E942" s="6">
        <v>44.36</v>
      </c>
      <c r="F942" s="6">
        <v>3060.69</v>
      </c>
    </row>
    <row r="943" spans="1:6" x14ac:dyDescent="0.3">
      <c r="A943" s="5" t="s">
        <v>57</v>
      </c>
      <c r="B943" s="5" t="s">
        <v>47</v>
      </c>
      <c r="C943" s="5" t="s">
        <v>41</v>
      </c>
      <c r="D943" s="5" t="s">
        <v>30</v>
      </c>
      <c r="E943" s="6">
        <v>47.37</v>
      </c>
      <c r="F943" s="6">
        <v>3799.05</v>
      </c>
    </row>
    <row r="944" spans="1:6" x14ac:dyDescent="0.3">
      <c r="A944" s="5" t="s">
        <v>57</v>
      </c>
      <c r="B944" s="5" t="s">
        <v>47</v>
      </c>
      <c r="C944" s="5" t="s">
        <v>41</v>
      </c>
      <c r="D944" s="5" t="s">
        <v>31</v>
      </c>
      <c r="E944" s="6">
        <v>50.61</v>
      </c>
      <c r="F944" s="6">
        <v>4054.16</v>
      </c>
    </row>
    <row r="945" spans="1:6" x14ac:dyDescent="0.3">
      <c r="A945" s="5" t="s">
        <v>57</v>
      </c>
      <c r="B945" s="5" t="s">
        <v>47</v>
      </c>
      <c r="C945" s="5" t="s">
        <v>41</v>
      </c>
      <c r="D945" s="5" t="s">
        <v>32</v>
      </c>
      <c r="E945" s="6">
        <v>46.03</v>
      </c>
      <c r="F945" s="6">
        <v>3705</v>
      </c>
    </row>
    <row r="946" spans="1:6" x14ac:dyDescent="0.3">
      <c r="A946" s="5" t="s">
        <v>57</v>
      </c>
      <c r="B946" s="5" t="s">
        <v>47</v>
      </c>
      <c r="C946" s="5" t="s">
        <v>41</v>
      </c>
      <c r="D946" s="5" t="s">
        <v>33</v>
      </c>
      <c r="E946" s="6">
        <v>48.51</v>
      </c>
      <c r="F946" s="6">
        <v>4053.99</v>
      </c>
    </row>
    <row r="947" spans="1:6" x14ac:dyDescent="0.3">
      <c r="A947" s="5" t="s">
        <v>57</v>
      </c>
      <c r="B947" s="5" t="s">
        <v>47</v>
      </c>
      <c r="C947" s="5" t="s">
        <v>41</v>
      </c>
      <c r="D947" s="5" t="s">
        <v>34</v>
      </c>
      <c r="E947" s="6">
        <v>51.75</v>
      </c>
      <c r="F947" s="6">
        <v>4394.25</v>
      </c>
    </row>
    <row r="948" spans="1:6" x14ac:dyDescent="0.3">
      <c r="A948" s="5" t="s">
        <v>57</v>
      </c>
      <c r="B948" s="5" t="s">
        <v>47</v>
      </c>
      <c r="C948" s="5" t="s">
        <v>41</v>
      </c>
      <c r="D948" s="5" t="s">
        <v>35</v>
      </c>
      <c r="E948" s="6">
        <v>58.85</v>
      </c>
      <c r="F948" s="6">
        <v>4905.33</v>
      </c>
    </row>
    <row r="949" spans="1:6" x14ac:dyDescent="0.3">
      <c r="A949" s="5" t="s">
        <v>57</v>
      </c>
      <c r="B949" s="5" t="s">
        <v>47</v>
      </c>
      <c r="C949" s="5" t="s">
        <v>41</v>
      </c>
      <c r="D949" s="5" t="s">
        <v>36</v>
      </c>
      <c r="E949" s="6">
        <v>57.4</v>
      </c>
      <c r="F949" s="6">
        <v>4531.58</v>
      </c>
    </row>
    <row r="950" spans="1:6" x14ac:dyDescent="0.3">
      <c r="A950" s="5" t="s">
        <v>57</v>
      </c>
      <c r="B950" s="5" t="s">
        <v>47</v>
      </c>
      <c r="C950" s="5" t="s">
        <v>41</v>
      </c>
      <c r="D950" s="5" t="s">
        <v>37</v>
      </c>
      <c r="E950" s="6">
        <v>54.5</v>
      </c>
      <c r="F950" s="6">
        <v>4546.1099999999997</v>
      </c>
    </row>
    <row r="951" spans="1:6" x14ac:dyDescent="0.3">
      <c r="A951" s="5" t="s">
        <v>57</v>
      </c>
      <c r="B951" s="5" t="s">
        <v>47</v>
      </c>
      <c r="C951" s="5" t="s">
        <v>41</v>
      </c>
      <c r="D951" s="5" t="s">
        <v>38</v>
      </c>
      <c r="E951" s="6">
        <v>58.84</v>
      </c>
      <c r="F951" s="6">
        <v>5000.63</v>
      </c>
    </row>
    <row r="953" spans="1:6" x14ac:dyDescent="0.3">
      <c r="A953" s="7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4" customWidth="1"/>
    <col min="2" max="8" width="12" customWidth="1"/>
  </cols>
  <sheetData>
    <row r="1" spans="1:7" ht="16.8" x14ac:dyDescent="0.3">
      <c r="A1" s="8" t="s">
        <v>59</v>
      </c>
    </row>
    <row r="2" spans="1:7" x14ac:dyDescent="0.3">
      <c r="A2" s="9" t="s">
        <v>60</v>
      </c>
    </row>
    <row r="4" spans="1:7" ht="39.6" x14ac:dyDescent="0.3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</row>
    <row r="5" spans="1:7" x14ac:dyDescent="0.3">
      <c r="A5" s="5" t="s">
        <v>26</v>
      </c>
      <c r="B5" s="6">
        <v>45.76</v>
      </c>
      <c r="C5" s="6">
        <v>51.14</v>
      </c>
      <c r="D5" s="6">
        <v>44.94</v>
      </c>
      <c r="E5" s="6">
        <v>44.76</v>
      </c>
      <c r="F5" s="6">
        <v>45.54</v>
      </c>
      <c r="G5" s="6">
        <f t="shared" ref="G5:G15" si="0">F5-B5</f>
        <v>-0.21999999999999886</v>
      </c>
    </row>
    <row r="6" spans="1:7" x14ac:dyDescent="0.3">
      <c r="A6" s="5" t="s">
        <v>48</v>
      </c>
      <c r="B6" s="6">
        <v>136.91</v>
      </c>
      <c r="C6" s="6">
        <v>134.56</v>
      </c>
      <c r="D6" s="6">
        <v>134.13999999999999</v>
      </c>
      <c r="E6" s="6">
        <v>135.74</v>
      </c>
      <c r="F6" s="6">
        <v>135.96</v>
      </c>
      <c r="G6" s="6">
        <f t="shared" si="0"/>
        <v>-0.94999999999998863</v>
      </c>
    </row>
    <row r="7" spans="1:7" x14ac:dyDescent="0.3">
      <c r="A7" s="5" t="s">
        <v>49</v>
      </c>
      <c r="B7" s="6">
        <v>69.87</v>
      </c>
      <c r="C7" s="6">
        <v>64.849999999999994</v>
      </c>
      <c r="D7" s="6">
        <v>69.930000000000007</v>
      </c>
      <c r="E7" s="6">
        <v>66.260000000000005</v>
      </c>
      <c r="F7" s="6">
        <v>68.44</v>
      </c>
      <c r="G7" s="6">
        <f t="shared" si="0"/>
        <v>-1.4300000000000068</v>
      </c>
    </row>
    <row r="8" spans="1:7" x14ac:dyDescent="0.3">
      <c r="A8" s="5" t="s">
        <v>50</v>
      </c>
      <c r="B8" s="6">
        <v>54.76</v>
      </c>
      <c r="C8" s="6">
        <v>56.82</v>
      </c>
      <c r="D8" s="6">
        <v>59.1</v>
      </c>
      <c r="E8" s="6">
        <v>58.75</v>
      </c>
      <c r="F8" s="6">
        <v>58.4</v>
      </c>
      <c r="G8" s="6">
        <f t="shared" si="0"/>
        <v>3.6400000000000006</v>
      </c>
    </row>
    <row r="9" spans="1:7" x14ac:dyDescent="0.3">
      <c r="A9" s="5" t="s">
        <v>51</v>
      </c>
      <c r="B9" s="6">
        <v>54.62</v>
      </c>
      <c r="C9" s="6">
        <v>54.99</v>
      </c>
      <c r="D9" s="6">
        <v>54.68</v>
      </c>
      <c r="E9" s="6">
        <v>53.83</v>
      </c>
      <c r="F9" s="6">
        <v>52.99</v>
      </c>
      <c r="G9" s="6">
        <f t="shared" si="0"/>
        <v>-1.6299999999999955</v>
      </c>
    </row>
    <row r="10" spans="1:7" x14ac:dyDescent="0.3">
      <c r="A10" s="5" t="s">
        <v>52</v>
      </c>
      <c r="B10" s="6">
        <v>165.77</v>
      </c>
      <c r="C10" s="6">
        <v>164.42</v>
      </c>
      <c r="D10" s="6">
        <v>165.99</v>
      </c>
      <c r="E10" s="6">
        <v>163.76</v>
      </c>
      <c r="F10" s="6">
        <v>156.87</v>
      </c>
      <c r="G10" s="6">
        <f t="shared" si="0"/>
        <v>-8.9000000000000057</v>
      </c>
    </row>
    <row r="11" spans="1:7" x14ac:dyDescent="0.3">
      <c r="A11" s="5" t="s">
        <v>53</v>
      </c>
      <c r="B11" s="6">
        <v>139.88</v>
      </c>
      <c r="C11" s="6">
        <v>150.22</v>
      </c>
      <c r="D11" s="6">
        <v>151.07</v>
      </c>
      <c r="E11" s="6">
        <v>148.77000000000001</v>
      </c>
      <c r="F11" s="6">
        <v>149.86000000000001</v>
      </c>
      <c r="G11" s="6">
        <f t="shared" si="0"/>
        <v>9.9800000000000182</v>
      </c>
    </row>
    <row r="12" spans="1:7" x14ac:dyDescent="0.3">
      <c r="A12" s="5" t="s">
        <v>54</v>
      </c>
      <c r="B12" s="6">
        <v>80.94</v>
      </c>
      <c r="C12" s="6">
        <v>82.93</v>
      </c>
      <c r="D12" s="6">
        <v>75.59</v>
      </c>
      <c r="E12" s="6">
        <v>73.91</v>
      </c>
      <c r="F12" s="6">
        <v>74.260000000000005</v>
      </c>
      <c r="G12" s="6">
        <f t="shared" si="0"/>
        <v>-6.6799999999999926</v>
      </c>
    </row>
    <row r="13" spans="1:7" x14ac:dyDescent="0.3">
      <c r="A13" s="5" t="s">
        <v>55</v>
      </c>
      <c r="B13" s="6">
        <v>65.45</v>
      </c>
      <c r="C13" s="6">
        <v>53.32</v>
      </c>
      <c r="D13" s="6">
        <v>41.6</v>
      </c>
      <c r="E13" s="6">
        <v>38.65</v>
      </c>
      <c r="F13" s="6">
        <v>45.91</v>
      </c>
      <c r="G13" s="6">
        <f t="shared" si="0"/>
        <v>-19.540000000000006</v>
      </c>
    </row>
    <row r="14" spans="1:7" x14ac:dyDescent="0.3">
      <c r="A14" s="5" t="s">
        <v>56</v>
      </c>
      <c r="B14" s="6">
        <v>70.180000000000007</v>
      </c>
      <c r="C14" s="6">
        <v>68.83</v>
      </c>
      <c r="D14" s="6">
        <v>70.66</v>
      </c>
      <c r="E14" s="6">
        <v>70.760000000000005</v>
      </c>
      <c r="F14" s="6">
        <v>70.45</v>
      </c>
      <c r="G14" s="6">
        <f t="shared" si="0"/>
        <v>0.26999999999999602</v>
      </c>
    </row>
    <row r="15" spans="1:7" x14ac:dyDescent="0.3">
      <c r="A15" s="10" t="s">
        <v>57</v>
      </c>
      <c r="B15" s="6">
        <v>63.33</v>
      </c>
      <c r="C15" s="6">
        <v>61.6</v>
      </c>
      <c r="D15" s="6">
        <v>60.08</v>
      </c>
      <c r="E15" s="6">
        <v>59.26</v>
      </c>
      <c r="F15" s="6">
        <v>60.475000000000001</v>
      </c>
      <c r="G15" s="6">
        <f t="shared" si="0"/>
        <v>-2.8549999999999969</v>
      </c>
    </row>
    <row r="17" spans="1:6" x14ac:dyDescent="0.3">
      <c r="A17" s="4" t="s">
        <v>68</v>
      </c>
      <c r="B17" s="4" t="s">
        <v>62</v>
      </c>
      <c r="C17" s="4" t="s">
        <v>63</v>
      </c>
      <c r="D17" s="4" t="s">
        <v>64</v>
      </c>
      <c r="E17" s="4" t="s">
        <v>65</v>
      </c>
      <c r="F17" s="4" t="s">
        <v>66</v>
      </c>
    </row>
    <row r="18" spans="1:6" x14ac:dyDescent="0.3">
      <c r="A18" s="5" t="s">
        <v>26</v>
      </c>
      <c r="B18" s="6">
        <v>13.26</v>
      </c>
      <c r="C18" s="6">
        <v>13.02</v>
      </c>
      <c r="D18" s="6">
        <v>13.5</v>
      </c>
      <c r="E18" s="6">
        <v>13.75</v>
      </c>
      <c r="F18" s="6">
        <v>14.1</v>
      </c>
    </row>
    <row r="19" spans="1:6" x14ac:dyDescent="0.3">
      <c r="A19" s="5" t="s">
        <v>48</v>
      </c>
      <c r="B19" s="6">
        <v>12.5</v>
      </c>
      <c r="C19" s="6">
        <v>11.61</v>
      </c>
      <c r="D19" s="6">
        <v>11.54</v>
      </c>
      <c r="E19" s="6">
        <v>11.8</v>
      </c>
      <c r="F19" s="6">
        <v>12.72</v>
      </c>
    </row>
    <row r="20" spans="1:6" x14ac:dyDescent="0.3">
      <c r="A20" s="5" t="s">
        <v>49</v>
      </c>
      <c r="B20" s="6">
        <v>10.34</v>
      </c>
      <c r="C20" s="6">
        <v>10.63</v>
      </c>
      <c r="D20" s="6">
        <v>11.22</v>
      </c>
      <c r="E20" s="6">
        <v>11.32</v>
      </c>
      <c r="F20" s="6">
        <v>11.55</v>
      </c>
    </row>
    <row r="21" spans="1:6" x14ac:dyDescent="0.3">
      <c r="A21" s="5" t="s">
        <v>50</v>
      </c>
      <c r="B21" s="6">
        <v>18.88</v>
      </c>
      <c r="C21" s="6">
        <v>18.97</v>
      </c>
      <c r="D21" s="6">
        <v>19.25</v>
      </c>
      <c r="E21" s="6">
        <v>19.3</v>
      </c>
      <c r="F21" s="6">
        <v>19.850000000000001</v>
      </c>
    </row>
    <row r="22" spans="1:6" x14ac:dyDescent="0.3">
      <c r="A22" s="5" t="s">
        <v>51</v>
      </c>
      <c r="B22" s="6">
        <v>16.329999999999998</v>
      </c>
      <c r="C22" s="6">
        <v>16.63</v>
      </c>
      <c r="D22" s="6">
        <v>16.649999999999999</v>
      </c>
      <c r="E22" s="6">
        <v>16.66</v>
      </c>
      <c r="F22" s="6">
        <v>16.5</v>
      </c>
    </row>
    <row r="23" spans="1:6" x14ac:dyDescent="0.3">
      <c r="A23" s="5" t="s">
        <v>52</v>
      </c>
      <c r="B23" s="6">
        <v>35.78</v>
      </c>
      <c r="C23" s="6">
        <v>33.85</v>
      </c>
      <c r="D23" s="6">
        <v>28.02</v>
      </c>
      <c r="E23" s="6">
        <v>27.8</v>
      </c>
      <c r="F23" s="6">
        <v>27.66</v>
      </c>
    </row>
    <row r="24" spans="1:6" x14ac:dyDescent="0.3">
      <c r="A24" s="5" t="s">
        <v>53</v>
      </c>
      <c r="B24" s="6">
        <v>16.77</v>
      </c>
      <c r="C24" s="6">
        <v>16.63</v>
      </c>
      <c r="D24" s="6">
        <v>16.559999999999999</v>
      </c>
      <c r="E24" s="6">
        <v>16.739999999999998</v>
      </c>
      <c r="F24" s="6">
        <v>17.05</v>
      </c>
    </row>
    <row r="25" spans="1:6" x14ac:dyDescent="0.3">
      <c r="A25" s="5" t="s">
        <v>54</v>
      </c>
      <c r="B25" s="6">
        <v>14.73</v>
      </c>
      <c r="C25" s="6">
        <v>14.67</v>
      </c>
      <c r="D25" s="6">
        <v>14.43</v>
      </c>
      <c r="E25" s="6">
        <v>14.42</v>
      </c>
      <c r="F25" s="6">
        <v>14.45</v>
      </c>
    </row>
    <row r="26" spans="1:6" x14ac:dyDescent="0.3">
      <c r="A26" s="5" t="s">
        <v>55</v>
      </c>
      <c r="B26" s="6">
        <v>8.09</v>
      </c>
      <c r="C26" s="6">
        <v>8.01</v>
      </c>
      <c r="D26" s="6">
        <v>8</v>
      </c>
      <c r="E26" s="6">
        <v>8.09</v>
      </c>
      <c r="F26" s="6">
        <v>8.4700000000000006</v>
      </c>
    </row>
    <row r="27" spans="1:6" x14ac:dyDescent="0.3">
      <c r="A27" s="5" t="s">
        <v>56</v>
      </c>
      <c r="B27" s="6">
        <v>45.84</v>
      </c>
      <c r="C27" s="6">
        <v>46.03</v>
      </c>
      <c r="D27" s="6">
        <v>46.14</v>
      </c>
      <c r="E27" s="6">
        <v>46.4</v>
      </c>
      <c r="F27" s="6">
        <v>46.76</v>
      </c>
    </row>
    <row r="28" spans="1:6" x14ac:dyDescent="0.3">
      <c r="A28" s="10" t="s">
        <v>57</v>
      </c>
      <c r="B28" s="6">
        <v>248.69</v>
      </c>
      <c r="C28" s="6">
        <v>244.92</v>
      </c>
      <c r="D28" s="6">
        <v>239.16</v>
      </c>
      <c r="E28" s="6">
        <v>241.34</v>
      </c>
      <c r="F28" s="6">
        <v>245.64599999999999</v>
      </c>
    </row>
    <row r="30" spans="1:6" x14ac:dyDescent="0.3">
      <c r="A30" s="4" t="s">
        <v>69</v>
      </c>
      <c r="B30" s="4" t="s">
        <v>62</v>
      </c>
      <c r="C30" s="4" t="s">
        <v>63</v>
      </c>
      <c r="D30" s="4" t="s">
        <v>64</v>
      </c>
      <c r="E30" s="4" t="s">
        <v>65</v>
      </c>
      <c r="F30" s="4" t="s">
        <v>66</v>
      </c>
    </row>
    <row r="31" spans="1:6" x14ac:dyDescent="0.3">
      <c r="A31" s="5" t="s">
        <v>26</v>
      </c>
      <c r="B31" s="6">
        <v>28.99</v>
      </c>
      <c r="C31" s="6">
        <v>25.46</v>
      </c>
      <c r="D31" s="6">
        <v>30.04</v>
      </c>
      <c r="E31" s="6">
        <v>30.72</v>
      </c>
      <c r="F31" s="6">
        <v>30.95</v>
      </c>
    </row>
    <row r="32" spans="1:6" x14ac:dyDescent="0.3">
      <c r="A32" s="5" t="s">
        <v>48</v>
      </c>
      <c r="B32" s="6">
        <v>9.1300000000000008</v>
      </c>
      <c r="C32" s="6">
        <v>8.6300000000000008</v>
      </c>
      <c r="D32" s="6">
        <v>8.61</v>
      </c>
      <c r="E32" s="6">
        <v>8.69</v>
      </c>
      <c r="F32" s="6">
        <v>9.36</v>
      </c>
    </row>
    <row r="33" spans="1:7" x14ac:dyDescent="0.3">
      <c r="A33" s="5" t="s">
        <v>49</v>
      </c>
      <c r="B33" s="6">
        <v>14.79</v>
      </c>
      <c r="C33" s="6">
        <v>16.399999999999999</v>
      </c>
      <c r="D33" s="6">
        <v>16.04</v>
      </c>
      <c r="E33" s="6">
        <v>17.079999999999998</v>
      </c>
      <c r="F33" s="6">
        <v>16.88</v>
      </c>
    </row>
    <row r="34" spans="1:7" x14ac:dyDescent="0.3">
      <c r="A34" s="5" t="s">
        <v>50</v>
      </c>
      <c r="B34" s="6">
        <v>34.47</v>
      </c>
      <c r="C34" s="6">
        <v>33.380000000000003</v>
      </c>
      <c r="D34" s="6">
        <v>32.58</v>
      </c>
      <c r="E34" s="6">
        <v>32.85</v>
      </c>
      <c r="F34" s="6">
        <v>33.99</v>
      </c>
    </row>
    <row r="35" spans="1:7" x14ac:dyDescent="0.3">
      <c r="A35" s="5" t="s">
        <v>51</v>
      </c>
      <c r="B35" s="6">
        <v>29.9</v>
      </c>
      <c r="C35" s="6">
        <v>30.25</v>
      </c>
      <c r="D35" s="6">
        <v>30.45</v>
      </c>
      <c r="E35" s="6">
        <v>30.95</v>
      </c>
      <c r="F35" s="6">
        <v>31.15</v>
      </c>
    </row>
    <row r="36" spans="1:7" x14ac:dyDescent="0.3">
      <c r="A36" s="5" t="s">
        <v>52</v>
      </c>
      <c r="B36" s="6">
        <v>21.58</v>
      </c>
      <c r="C36" s="6">
        <v>20.59</v>
      </c>
      <c r="D36" s="6">
        <v>17.07</v>
      </c>
      <c r="E36" s="6">
        <v>16.98</v>
      </c>
      <c r="F36" s="6">
        <v>17.63</v>
      </c>
    </row>
    <row r="37" spans="1:7" x14ac:dyDescent="0.3">
      <c r="A37" s="5" t="s">
        <v>53</v>
      </c>
      <c r="B37" s="6">
        <v>11.99</v>
      </c>
      <c r="C37" s="6">
        <v>11.07</v>
      </c>
      <c r="D37" s="6">
        <v>10.96</v>
      </c>
      <c r="E37" s="6">
        <v>11.25</v>
      </c>
      <c r="F37" s="6">
        <v>11.37</v>
      </c>
    </row>
    <row r="38" spans="1:7" x14ac:dyDescent="0.3">
      <c r="A38" s="5" t="s">
        <v>54</v>
      </c>
      <c r="B38" s="6">
        <v>18.2</v>
      </c>
      <c r="C38" s="6">
        <v>17.690000000000001</v>
      </c>
      <c r="D38" s="6">
        <v>19.09</v>
      </c>
      <c r="E38" s="6">
        <v>19.510000000000002</v>
      </c>
      <c r="F38" s="6">
        <v>19.46</v>
      </c>
    </row>
    <row r="39" spans="1:7" x14ac:dyDescent="0.3">
      <c r="A39" s="5" t="s">
        <v>55</v>
      </c>
      <c r="B39" s="6">
        <v>12.37</v>
      </c>
      <c r="C39" s="6">
        <v>15.03</v>
      </c>
      <c r="D39" s="6">
        <v>19.25</v>
      </c>
      <c r="E39" s="6">
        <v>20.92</v>
      </c>
      <c r="F39" s="6">
        <v>18.440000000000001</v>
      </c>
    </row>
    <row r="40" spans="1:7" x14ac:dyDescent="0.3">
      <c r="A40" s="5" t="s">
        <v>56</v>
      </c>
      <c r="B40" s="6">
        <v>65.319999999999993</v>
      </c>
      <c r="C40" s="6">
        <v>66.88</v>
      </c>
      <c r="D40" s="6">
        <v>65.3</v>
      </c>
      <c r="E40" s="6">
        <v>65.569999999999993</v>
      </c>
      <c r="F40" s="6">
        <v>66.38</v>
      </c>
    </row>
    <row r="41" spans="1:7" x14ac:dyDescent="0.3">
      <c r="A41" s="10" t="s">
        <v>57</v>
      </c>
      <c r="B41" s="6">
        <v>392.7</v>
      </c>
      <c r="C41" s="6">
        <v>397.62</v>
      </c>
      <c r="D41" s="6">
        <v>398.08</v>
      </c>
      <c r="E41" s="6">
        <v>407.21</v>
      </c>
      <c r="F41" s="6">
        <v>406.19400000000002</v>
      </c>
    </row>
    <row r="43" spans="1:7" ht="26.4" x14ac:dyDescent="0.3">
      <c r="A43" s="4" t="s">
        <v>70</v>
      </c>
      <c r="B43" s="4" t="s">
        <v>62</v>
      </c>
      <c r="C43" s="4" t="s">
        <v>63</v>
      </c>
      <c r="D43" s="4" t="s">
        <v>64</v>
      </c>
      <c r="E43" s="4" t="s">
        <v>65</v>
      </c>
      <c r="F43" s="4" t="s">
        <v>66</v>
      </c>
      <c r="G43" s="4" t="s">
        <v>71</v>
      </c>
    </row>
    <row r="44" spans="1:7" x14ac:dyDescent="0.3">
      <c r="A44" s="5" t="s">
        <v>26</v>
      </c>
      <c r="B44" s="6">
        <f t="shared" ref="B44:F54" si="1">B18/B31*100</f>
        <v>45.739910313901348</v>
      </c>
      <c r="C44" s="6">
        <f t="shared" si="1"/>
        <v>51.139041633935577</v>
      </c>
      <c r="D44" s="6">
        <f t="shared" si="1"/>
        <v>44.940079893475364</v>
      </c>
      <c r="E44" s="6">
        <f t="shared" si="1"/>
        <v>44.759114583333336</v>
      </c>
      <c r="F44" s="6">
        <f t="shared" si="1"/>
        <v>45.557350565428109</v>
      </c>
      <c r="G44" s="6">
        <f t="shared" ref="G44:G54" si="2">MAX(ABS(B44-B5),ABS(C44-C5),ABS(D44-D5),ABS(E44-E5),ABS(F44-F5))</f>
        <v>2.0089686098650361E-2</v>
      </c>
    </row>
    <row r="45" spans="1:7" x14ac:dyDescent="0.3">
      <c r="A45" s="5" t="s">
        <v>48</v>
      </c>
      <c r="B45" s="6">
        <f t="shared" si="1"/>
        <v>136.91128148959473</v>
      </c>
      <c r="C45" s="6">
        <f t="shared" si="1"/>
        <v>134.53070683661645</v>
      </c>
      <c r="D45" s="6">
        <f t="shared" si="1"/>
        <v>134.0301974448316</v>
      </c>
      <c r="E45" s="6">
        <f t="shared" si="1"/>
        <v>135.78826237054088</v>
      </c>
      <c r="F45" s="6">
        <f t="shared" si="1"/>
        <v>135.89743589743591</v>
      </c>
      <c r="G45" s="6">
        <f t="shared" si="2"/>
        <v>0.10980255516838611</v>
      </c>
    </row>
    <row r="46" spans="1:7" x14ac:dyDescent="0.3">
      <c r="A46" s="5" t="s">
        <v>49</v>
      </c>
      <c r="B46" s="6">
        <f t="shared" si="1"/>
        <v>69.912102772143342</v>
      </c>
      <c r="C46" s="6">
        <f t="shared" si="1"/>
        <v>64.817073170731717</v>
      </c>
      <c r="D46" s="6">
        <f t="shared" si="1"/>
        <v>69.950124688279317</v>
      </c>
      <c r="E46" s="6">
        <f t="shared" si="1"/>
        <v>66.276346604215462</v>
      </c>
      <c r="F46" s="6">
        <f t="shared" si="1"/>
        <v>68.424170616113756</v>
      </c>
      <c r="G46" s="6">
        <f t="shared" si="2"/>
        <v>4.2102772143337575E-2</v>
      </c>
    </row>
    <row r="47" spans="1:7" x14ac:dyDescent="0.3">
      <c r="A47" s="5" t="s">
        <v>50</v>
      </c>
      <c r="B47" s="6">
        <f t="shared" si="1"/>
        <v>54.772265738323178</v>
      </c>
      <c r="C47" s="6">
        <f t="shared" si="1"/>
        <v>56.83043738765727</v>
      </c>
      <c r="D47" s="6">
        <f t="shared" si="1"/>
        <v>59.085328422344993</v>
      </c>
      <c r="E47" s="6">
        <f t="shared" si="1"/>
        <v>58.75190258751902</v>
      </c>
      <c r="F47" s="6">
        <f t="shared" si="1"/>
        <v>58.399529273315686</v>
      </c>
      <c r="G47" s="6">
        <f t="shared" si="2"/>
        <v>1.467157765500815E-2</v>
      </c>
    </row>
    <row r="48" spans="1:7" x14ac:dyDescent="0.3">
      <c r="A48" s="5" t="s">
        <v>51</v>
      </c>
      <c r="B48" s="6">
        <f t="shared" si="1"/>
        <v>54.615384615384613</v>
      </c>
      <c r="C48" s="6">
        <f t="shared" si="1"/>
        <v>54.97520661157025</v>
      </c>
      <c r="D48" s="6">
        <f t="shared" si="1"/>
        <v>54.679802955665025</v>
      </c>
      <c r="E48" s="6">
        <f t="shared" si="1"/>
        <v>53.828756058158319</v>
      </c>
      <c r="F48" s="6">
        <f t="shared" si="1"/>
        <v>52.96950240770466</v>
      </c>
      <c r="G48" s="6">
        <f t="shared" si="2"/>
        <v>2.0497592295342315E-2</v>
      </c>
    </row>
    <row r="49" spans="1:7" x14ac:dyDescent="0.3">
      <c r="A49" s="5" t="s">
        <v>52</v>
      </c>
      <c r="B49" s="6">
        <f t="shared" si="1"/>
        <v>165.80166821130678</v>
      </c>
      <c r="C49" s="6">
        <f t="shared" si="1"/>
        <v>164.40019426906264</v>
      </c>
      <c r="D49" s="6">
        <f t="shared" si="1"/>
        <v>164.14762741652021</v>
      </c>
      <c r="E49" s="6">
        <f t="shared" si="1"/>
        <v>163.72202591283863</v>
      </c>
      <c r="F49" s="6">
        <f t="shared" si="1"/>
        <v>156.89166193987523</v>
      </c>
      <c r="G49" s="6">
        <f t="shared" si="2"/>
        <v>1.8423725834798006</v>
      </c>
    </row>
    <row r="50" spans="1:7" x14ac:dyDescent="0.3">
      <c r="A50" s="5" t="s">
        <v>53</v>
      </c>
      <c r="B50" s="6">
        <f t="shared" si="1"/>
        <v>139.86655546288574</v>
      </c>
      <c r="C50" s="6">
        <f t="shared" si="1"/>
        <v>150.22583559168922</v>
      </c>
      <c r="D50" s="6">
        <f t="shared" si="1"/>
        <v>151.09489051094889</v>
      </c>
      <c r="E50" s="6">
        <f t="shared" si="1"/>
        <v>148.79999999999998</v>
      </c>
      <c r="F50" s="6">
        <f t="shared" si="1"/>
        <v>149.95602462620934</v>
      </c>
      <c r="G50" s="6">
        <f t="shared" si="2"/>
        <v>9.6024626209327835E-2</v>
      </c>
    </row>
    <row r="51" spans="1:7" x14ac:dyDescent="0.3">
      <c r="A51" s="5" t="s">
        <v>54</v>
      </c>
      <c r="B51" s="6">
        <f t="shared" si="1"/>
        <v>80.934065934065941</v>
      </c>
      <c r="C51" s="6">
        <f t="shared" si="1"/>
        <v>82.928208027133962</v>
      </c>
      <c r="D51" s="6">
        <f t="shared" si="1"/>
        <v>75.58931377684651</v>
      </c>
      <c r="E51" s="6">
        <f t="shared" si="1"/>
        <v>73.910814966683745</v>
      </c>
      <c r="F51" s="6">
        <f t="shared" si="1"/>
        <v>74.254881808838633</v>
      </c>
      <c r="G51" s="6">
        <f t="shared" si="2"/>
        <v>5.9340659340563207E-3</v>
      </c>
    </row>
    <row r="52" spans="1:7" x14ac:dyDescent="0.3">
      <c r="A52" s="5" t="s">
        <v>55</v>
      </c>
      <c r="B52" s="6">
        <f t="shared" si="1"/>
        <v>65.400161681487461</v>
      </c>
      <c r="C52" s="6">
        <f t="shared" si="1"/>
        <v>53.293413173652695</v>
      </c>
      <c r="D52" s="6">
        <f t="shared" si="1"/>
        <v>41.558441558441558</v>
      </c>
      <c r="E52" s="6">
        <f t="shared" si="1"/>
        <v>38.671128107074566</v>
      </c>
      <c r="F52" s="6">
        <f t="shared" si="1"/>
        <v>45.932754880694141</v>
      </c>
      <c r="G52" s="6">
        <f t="shared" si="2"/>
        <v>4.9838318512541946E-2</v>
      </c>
    </row>
    <row r="53" spans="1:7" x14ac:dyDescent="0.3">
      <c r="A53" s="5" t="s">
        <v>56</v>
      </c>
      <c r="B53" s="6">
        <f t="shared" si="1"/>
        <v>70.17758726270668</v>
      </c>
      <c r="C53" s="6">
        <f t="shared" si="1"/>
        <v>68.824760765550238</v>
      </c>
      <c r="D53" s="6">
        <f t="shared" si="1"/>
        <v>70.658499234303221</v>
      </c>
      <c r="E53" s="6">
        <f t="shared" si="1"/>
        <v>70.764068933963713</v>
      </c>
      <c r="F53" s="6">
        <f t="shared" si="1"/>
        <v>70.442904489304013</v>
      </c>
      <c r="G53" s="6">
        <f t="shared" si="2"/>
        <v>7.0955106959900149E-3</v>
      </c>
    </row>
    <row r="54" spans="1:7" x14ac:dyDescent="0.3">
      <c r="A54" s="10" t="s">
        <v>57</v>
      </c>
      <c r="B54" s="6">
        <f t="shared" si="1"/>
        <v>63.328240387063914</v>
      </c>
      <c r="C54" s="6">
        <f t="shared" si="1"/>
        <v>61.596499170061868</v>
      </c>
      <c r="D54" s="6">
        <f t="shared" si="1"/>
        <v>60.078376205787784</v>
      </c>
      <c r="E54" s="6">
        <f t="shared" si="1"/>
        <v>59.26671741853098</v>
      </c>
      <c r="F54" s="6">
        <f t="shared" si="1"/>
        <v>60.475043944519115</v>
      </c>
      <c r="G54" s="6">
        <f t="shared" si="2"/>
        <v>6.7174185309823997E-3</v>
      </c>
    </row>
    <row r="56" spans="1:7" x14ac:dyDescent="0.3">
      <c r="A56" s="7" t="s">
        <v>72</v>
      </c>
    </row>
    <row r="57" spans="1:7" x14ac:dyDescent="0.3">
      <c r="A57" s="7" t="s">
        <v>73</v>
      </c>
    </row>
    <row r="58" spans="1:7" x14ac:dyDescent="0.3">
      <c r="A58" s="7" t="s">
        <v>74</v>
      </c>
    </row>
    <row r="59" spans="1:7" x14ac:dyDescent="0.3">
      <c r="A59" s="7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4" customWidth="1"/>
    <col min="2" max="12" width="9" customWidth="1"/>
  </cols>
  <sheetData>
    <row r="1" spans="1:11" ht="16.8" x14ac:dyDescent="0.3">
      <c r="A1" s="8" t="s">
        <v>76</v>
      </c>
    </row>
    <row r="2" spans="1:11" x14ac:dyDescent="0.3">
      <c r="A2" s="9" t="s">
        <v>77</v>
      </c>
    </row>
    <row r="4" spans="1:11" ht="26.4" x14ac:dyDescent="0.3">
      <c r="A4" s="4" t="s">
        <v>78</v>
      </c>
      <c r="B4" s="4" t="s">
        <v>79</v>
      </c>
      <c r="C4" s="4" t="s">
        <v>80</v>
      </c>
      <c r="D4" s="4" t="s">
        <v>62</v>
      </c>
      <c r="E4" s="4" t="s">
        <v>81</v>
      </c>
      <c r="F4" s="4" t="s">
        <v>82</v>
      </c>
      <c r="G4" s="4" t="s">
        <v>63</v>
      </c>
      <c r="H4" s="4" t="s">
        <v>83</v>
      </c>
      <c r="I4" s="4" t="s">
        <v>64</v>
      </c>
      <c r="J4" s="4" t="s">
        <v>65</v>
      </c>
      <c r="K4" s="4" t="s">
        <v>66</v>
      </c>
    </row>
    <row r="5" spans="1:11" x14ac:dyDescent="0.3">
      <c r="A5" s="5" t="s">
        <v>26</v>
      </c>
      <c r="B5" s="11">
        <v>-0.27</v>
      </c>
      <c r="C5" s="11">
        <v>-0.03</v>
      </c>
      <c r="D5" s="12"/>
      <c r="E5" s="11">
        <v>-0.25</v>
      </c>
      <c r="F5" s="11">
        <v>0.03</v>
      </c>
      <c r="G5" s="11">
        <v>0.25</v>
      </c>
      <c r="H5" s="11">
        <v>0.03</v>
      </c>
      <c r="I5" s="11">
        <v>-0.31</v>
      </c>
      <c r="J5" s="12"/>
      <c r="K5" s="12"/>
    </row>
    <row r="6" spans="1:11" x14ac:dyDescent="0.3">
      <c r="A6" s="5" t="s">
        <v>48</v>
      </c>
      <c r="B6" s="11">
        <v>-0.37</v>
      </c>
      <c r="C6" s="11">
        <v>-0.28000000000000003</v>
      </c>
      <c r="D6" s="12"/>
      <c r="E6" s="11">
        <v>-0.05</v>
      </c>
      <c r="F6" s="11">
        <v>-0.42</v>
      </c>
      <c r="G6" s="11">
        <v>-0.14000000000000001</v>
      </c>
      <c r="H6" s="11">
        <v>0.3</v>
      </c>
      <c r="I6" s="11">
        <v>0.09</v>
      </c>
      <c r="J6" s="12"/>
      <c r="K6" s="12"/>
    </row>
    <row r="7" spans="1:11" x14ac:dyDescent="0.3">
      <c r="A7" s="5" t="s">
        <v>49</v>
      </c>
      <c r="B7" s="11">
        <v>-0.2</v>
      </c>
      <c r="C7" s="11">
        <v>-0.15</v>
      </c>
      <c r="D7" s="12"/>
      <c r="E7" s="11">
        <v>-0.06</v>
      </c>
      <c r="F7" s="11">
        <v>0.23</v>
      </c>
      <c r="G7" s="11">
        <v>0.27</v>
      </c>
      <c r="H7" s="11">
        <v>0.03</v>
      </c>
      <c r="I7" s="11">
        <v>0.28999999999999998</v>
      </c>
      <c r="J7" s="12"/>
      <c r="K7" s="12"/>
    </row>
    <row r="8" spans="1:11" x14ac:dyDescent="0.3">
      <c r="A8" s="5" t="s">
        <v>50</v>
      </c>
      <c r="B8" s="11">
        <v>-0.11</v>
      </c>
      <c r="C8" s="11">
        <v>0.19</v>
      </c>
      <c r="D8" s="12"/>
      <c r="E8" s="11">
        <v>-0.08</v>
      </c>
      <c r="F8" s="11">
        <v>0.44</v>
      </c>
      <c r="G8" s="11">
        <v>0.05</v>
      </c>
      <c r="H8" s="11">
        <v>0</v>
      </c>
      <c r="I8" s="11">
        <v>0.23</v>
      </c>
      <c r="J8" s="12"/>
      <c r="K8" s="12"/>
    </row>
    <row r="9" spans="1:11" x14ac:dyDescent="0.3">
      <c r="A9" s="5" t="s">
        <v>51</v>
      </c>
      <c r="B9" s="11">
        <v>-0.27</v>
      </c>
      <c r="C9" s="11">
        <v>0.16</v>
      </c>
      <c r="D9" s="12"/>
      <c r="E9" s="11">
        <v>-0.08</v>
      </c>
      <c r="F9" s="11">
        <v>0.32</v>
      </c>
      <c r="G9" s="11">
        <v>0.16</v>
      </c>
      <c r="H9" s="11">
        <v>0.19</v>
      </c>
      <c r="I9" s="11">
        <v>0.23</v>
      </c>
      <c r="J9" s="12"/>
      <c r="K9" s="12"/>
    </row>
    <row r="10" spans="1:11" x14ac:dyDescent="0.3">
      <c r="A10" s="5" t="s">
        <v>52</v>
      </c>
      <c r="B10" s="11">
        <v>-0.31</v>
      </c>
      <c r="C10" s="11">
        <v>-0.28000000000000003</v>
      </c>
      <c r="D10" s="12"/>
      <c r="E10" s="11">
        <v>0.16</v>
      </c>
      <c r="F10" s="11">
        <v>-7.0000000000000007E-2</v>
      </c>
      <c r="G10" s="11">
        <v>-0.17</v>
      </c>
      <c r="H10" s="11">
        <v>-7.0000000000000007E-2</v>
      </c>
      <c r="I10" s="11">
        <v>-0.06</v>
      </c>
      <c r="J10" s="12"/>
      <c r="K10" s="12"/>
    </row>
    <row r="11" spans="1:11" x14ac:dyDescent="0.3">
      <c r="A11" s="5" t="s">
        <v>53</v>
      </c>
      <c r="B11" s="11">
        <v>0.1</v>
      </c>
      <c r="C11" s="11">
        <v>0.28000000000000003</v>
      </c>
      <c r="D11" s="12"/>
      <c r="E11" s="11">
        <v>-0.06</v>
      </c>
      <c r="F11" s="11">
        <v>0.41</v>
      </c>
      <c r="G11" s="11">
        <v>0.08</v>
      </c>
      <c r="H11" s="11">
        <v>0.17</v>
      </c>
      <c r="I11" s="11">
        <v>0.37</v>
      </c>
      <c r="J11" s="12"/>
      <c r="K11" s="12"/>
    </row>
    <row r="12" spans="1:11" x14ac:dyDescent="0.3">
      <c r="A12" s="5" t="s">
        <v>54</v>
      </c>
      <c r="B12" s="11">
        <v>-0.1</v>
      </c>
      <c r="C12" s="11">
        <v>-0.19</v>
      </c>
      <c r="D12" s="12"/>
      <c r="E12" s="11">
        <v>-0.08</v>
      </c>
      <c r="F12" s="11">
        <v>0.17</v>
      </c>
      <c r="G12" s="11">
        <v>0.27</v>
      </c>
      <c r="H12" s="11">
        <v>0.17</v>
      </c>
      <c r="I12" s="11">
        <v>0.45</v>
      </c>
      <c r="J12" s="12"/>
      <c r="K12" s="12"/>
    </row>
    <row r="13" spans="1:11" x14ac:dyDescent="0.3">
      <c r="A13" s="5" t="s">
        <v>55</v>
      </c>
      <c r="B13" s="11">
        <v>-0.2</v>
      </c>
      <c r="C13" s="11">
        <v>0.19</v>
      </c>
      <c r="D13" s="12"/>
      <c r="E13" s="11">
        <v>-0.03</v>
      </c>
      <c r="F13" s="11">
        <v>0.06</v>
      </c>
      <c r="G13" s="11">
        <v>0.46</v>
      </c>
      <c r="H13" s="11">
        <v>0.39</v>
      </c>
      <c r="I13" s="11">
        <v>0.46</v>
      </c>
      <c r="J13" s="12"/>
      <c r="K13" s="12"/>
    </row>
    <row r="14" spans="1:11" x14ac:dyDescent="0.3">
      <c r="A14" s="5" t="s">
        <v>56</v>
      </c>
      <c r="B14" s="11">
        <v>-0.46</v>
      </c>
      <c r="C14" s="11">
        <v>-0.14000000000000001</v>
      </c>
      <c r="D14" s="12"/>
      <c r="E14" s="11">
        <v>-0.1</v>
      </c>
      <c r="F14" s="11">
        <v>-0.09</v>
      </c>
      <c r="G14" s="11">
        <v>-0.18</v>
      </c>
      <c r="H14" s="11">
        <v>-0.05</v>
      </c>
      <c r="I14" s="11">
        <v>-0.28999999999999998</v>
      </c>
      <c r="J14" s="12"/>
      <c r="K14" s="12"/>
    </row>
    <row r="16" spans="1:11" x14ac:dyDescent="0.3">
      <c r="A16" s="4" t="s">
        <v>84</v>
      </c>
      <c r="B16" s="4" t="s">
        <v>79</v>
      </c>
      <c r="C16" s="4" t="s">
        <v>80</v>
      </c>
      <c r="D16" s="4" t="s">
        <v>62</v>
      </c>
      <c r="E16" s="4" t="s">
        <v>81</v>
      </c>
      <c r="F16" s="4" t="s">
        <v>82</v>
      </c>
      <c r="G16" s="4" t="s">
        <v>63</v>
      </c>
      <c r="H16" s="4" t="s">
        <v>83</v>
      </c>
      <c r="I16" s="4" t="s">
        <v>64</v>
      </c>
      <c r="J16" s="4" t="s">
        <v>65</v>
      </c>
      <c r="K16" s="4" t="s">
        <v>66</v>
      </c>
    </row>
    <row r="17" spans="1:11" x14ac:dyDescent="0.3">
      <c r="A17" s="5" t="s">
        <v>26</v>
      </c>
      <c r="B17" s="13">
        <v>745</v>
      </c>
      <c r="C17" s="13">
        <v>994.1</v>
      </c>
      <c r="D17" s="14"/>
      <c r="E17" s="13">
        <v>770.8</v>
      </c>
      <c r="F17" s="13">
        <v>1049.4000000000001</v>
      </c>
      <c r="G17" s="13">
        <v>1272.4000000000001</v>
      </c>
      <c r="H17" s="13">
        <v>1044.3</v>
      </c>
      <c r="I17" s="13">
        <v>683.7</v>
      </c>
      <c r="J17" s="14"/>
      <c r="K17" s="14"/>
    </row>
    <row r="18" spans="1:11" x14ac:dyDescent="0.3">
      <c r="A18" s="5" t="s">
        <v>48</v>
      </c>
      <c r="B18" s="13">
        <v>287.89999999999998</v>
      </c>
      <c r="C18" s="13">
        <v>332.1</v>
      </c>
      <c r="D18" s="14"/>
      <c r="E18" s="13">
        <v>436.1</v>
      </c>
      <c r="F18" s="13">
        <v>255.2</v>
      </c>
      <c r="G18" s="13">
        <v>376.1</v>
      </c>
      <c r="H18" s="13">
        <v>571.29999999999995</v>
      </c>
      <c r="I18" s="13">
        <v>464.7</v>
      </c>
      <c r="J18" s="14"/>
      <c r="K18" s="14"/>
    </row>
    <row r="19" spans="1:11" x14ac:dyDescent="0.3">
      <c r="A19" s="5" t="s">
        <v>49</v>
      </c>
      <c r="B19" s="13">
        <v>664.7</v>
      </c>
      <c r="C19" s="13">
        <v>710.8</v>
      </c>
      <c r="D19" s="14"/>
      <c r="E19" s="13">
        <v>780.3</v>
      </c>
      <c r="F19" s="13">
        <v>1032.0999999999999</v>
      </c>
      <c r="G19" s="13">
        <v>1063.9000000000001</v>
      </c>
      <c r="H19" s="13">
        <v>865.4</v>
      </c>
      <c r="I19" s="13">
        <v>1075.2</v>
      </c>
      <c r="J19" s="14"/>
      <c r="K19" s="14"/>
    </row>
    <row r="20" spans="1:11" x14ac:dyDescent="0.3">
      <c r="A20" s="5" t="s">
        <v>50</v>
      </c>
      <c r="B20" s="13">
        <v>843.8</v>
      </c>
      <c r="C20" s="13">
        <v>1131</v>
      </c>
      <c r="D20" s="14"/>
      <c r="E20" s="13">
        <v>873.1</v>
      </c>
      <c r="F20" s="13">
        <v>1351.1</v>
      </c>
      <c r="G20" s="13">
        <v>991.7</v>
      </c>
      <c r="H20" s="13">
        <v>942.7</v>
      </c>
      <c r="I20" s="13">
        <v>1169.5</v>
      </c>
      <c r="J20" s="14"/>
      <c r="K20" s="14"/>
    </row>
    <row r="21" spans="1:11" x14ac:dyDescent="0.3">
      <c r="A21" s="5" t="s">
        <v>51</v>
      </c>
      <c r="B21" s="13">
        <v>733</v>
      </c>
      <c r="C21" s="13">
        <v>1164.9000000000001</v>
      </c>
      <c r="D21" s="14"/>
      <c r="E21" s="13">
        <v>923.9</v>
      </c>
      <c r="F21" s="13">
        <v>1329.8</v>
      </c>
      <c r="G21" s="13">
        <v>1166.0999999999999</v>
      </c>
      <c r="H21" s="13">
        <v>1194.3</v>
      </c>
      <c r="I21" s="13">
        <v>1219.8</v>
      </c>
      <c r="J21" s="14"/>
      <c r="K21" s="14"/>
    </row>
    <row r="22" spans="1:11" x14ac:dyDescent="0.3">
      <c r="A22" s="5" t="s">
        <v>52</v>
      </c>
      <c r="B22" s="13">
        <v>338</v>
      </c>
      <c r="C22" s="13">
        <v>352</v>
      </c>
      <c r="D22" s="14"/>
      <c r="E22" s="13">
        <v>569.1</v>
      </c>
      <c r="F22" s="13">
        <v>434.5</v>
      </c>
      <c r="G22" s="13">
        <v>387.5</v>
      </c>
      <c r="H22" s="13">
        <v>436.8</v>
      </c>
      <c r="I22" s="13">
        <v>414</v>
      </c>
      <c r="J22" s="14"/>
      <c r="K22" s="14"/>
    </row>
    <row r="23" spans="1:11" x14ac:dyDescent="0.3">
      <c r="A23" s="5" t="s">
        <v>53</v>
      </c>
      <c r="B23" s="13">
        <v>460.3</v>
      </c>
      <c r="C23" s="13">
        <v>535.79999999999995</v>
      </c>
      <c r="D23" s="14"/>
      <c r="E23" s="13">
        <v>393.7</v>
      </c>
      <c r="F23" s="13">
        <v>583.70000000000005</v>
      </c>
      <c r="G23" s="13">
        <v>450.2</v>
      </c>
      <c r="H23" s="13">
        <v>485.3</v>
      </c>
      <c r="I23" s="13">
        <v>596</v>
      </c>
      <c r="J23" s="14"/>
      <c r="K23" s="14"/>
    </row>
    <row r="24" spans="1:11" x14ac:dyDescent="0.3">
      <c r="A24" s="5" t="s">
        <v>54</v>
      </c>
      <c r="B24" s="13">
        <v>286</v>
      </c>
      <c r="C24" s="13">
        <v>257.8</v>
      </c>
      <c r="D24" s="14"/>
      <c r="E24" s="13">
        <v>290.7</v>
      </c>
      <c r="F24" s="13">
        <v>401.6</v>
      </c>
      <c r="G24" s="13">
        <v>425.8</v>
      </c>
      <c r="H24" s="13">
        <v>393.4</v>
      </c>
      <c r="I24" s="13">
        <v>476.8</v>
      </c>
      <c r="J24" s="14"/>
      <c r="K24" s="14"/>
    </row>
    <row r="25" spans="1:11" x14ac:dyDescent="0.3">
      <c r="A25" s="5" t="s">
        <v>55</v>
      </c>
      <c r="B25" s="13">
        <v>600.79999999999995</v>
      </c>
      <c r="C25" s="13">
        <v>899.8</v>
      </c>
      <c r="D25" s="14"/>
      <c r="E25" s="13">
        <v>732.9</v>
      </c>
      <c r="F25" s="13">
        <v>806.9</v>
      </c>
      <c r="G25" s="13">
        <v>1095.8</v>
      </c>
      <c r="H25" s="13">
        <v>1044.2</v>
      </c>
      <c r="I25" s="13">
        <v>1072.7</v>
      </c>
      <c r="J25" s="14"/>
      <c r="K25" s="14"/>
    </row>
    <row r="26" spans="1:11" x14ac:dyDescent="0.3">
      <c r="A26" s="5" t="s">
        <v>56</v>
      </c>
      <c r="B26" s="13">
        <v>459.3</v>
      </c>
      <c r="C26" s="13">
        <v>731.5</v>
      </c>
      <c r="D26" s="14"/>
      <c r="E26" s="13">
        <v>765.4</v>
      </c>
      <c r="F26" s="13">
        <v>719.9</v>
      </c>
      <c r="G26" s="13">
        <v>649.70000000000005</v>
      </c>
      <c r="H26" s="13">
        <v>749.2</v>
      </c>
      <c r="I26" s="13">
        <v>533.4</v>
      </c>
      <c r="J26" s="14"/>
      <c r="K26" s="14"/>
    </row>
    <row r="28" spans="1:11" x14ac:dyDescent="0.3">
      <c r="A28" s="4" t="s">
        <v>85</v>
      </c>
      <c r="B28" s="4" t="s">
        <v>79</v>
      </c>
      <c r="C28" s="4" t="s">
        <v>80</v>
      </c>
      <c r="D28" s="4" t="s">
        <v>62</v>
      </c>
      <c r="E28" s="4" t="s">
        <v>81</v>
      </c>
      <c r="F28" s="4" t="s">
        <v>82</v>
      </c>
      <c r="G28" s="4" t="s">
        <v>63</v>
      </c>
      <c r="H28" s="4" t="s">
        <v>83</v>
      </c>
      <c r="I28" s="4" t="s">
        <v>64</v>
      </c>
      <c r="J28" s="4" t="s">
        <v>65</v>
      </c>
      <c r="K28" s="4" t="s">
        <v>66</v>
      </c>
    </row>
    <row r="29" spans="1:11" x14ac:dyDescent="0.3">
      <c r="A29" s="5" t="s">
        <v>26</v>
      </c>
      <c r="B29" s="13">
        <v>1027.5999999999999</v>
      </c>
      <c r="C29" s="13">
        <v>1027.5999999999999</v>
      </c>
      <c r="D29" s="14"/>
      <c r="E29" s="13">
        <v>1027.5999999999999</v>
      </c>
      <c r="F29" s="13">
        <v>1017.2</v>
      </c>
      <c r="G29" s="13">
        <v>1017.2</v>
      </c>
      <c r="H29" s="13">
        <v>1017.2</v>
      </c>
      <c r="I29" s="13">
        <v>992.2</v>
      </c>
      <c r="J29" s="14"/>
      <c r="K29" s="14"/>
    </row>
    <row r="30" spans="1:11" x14ac:dyDescent="0.3">
      <c r="A30" s="5" t="s">
        <v>48</v>
      </c>
      <c r="B30" s="13">
        <v>459.8</v>
      </c>
      <c r="C30" s="13">
        <v>459.8</v>
      </c>
      <c r="D30" s="14"/>
      <c r="E30" s="13">
        <v>459.8</v>
      </c>
      <c r="F30" s="13">
        <v>438.6</v>
      </c>
      <c r="G30" s="13">
        <v>438.6</v>
      </c>
      <c r="H30" s="13">
        <v>438.6</v>
      </c>
      <c r="I30" s="13">
        <v>426</v>
      </c>
      <c r="J30" s="14"/>
      <c r="K30" s="14"/>
    </row>
    <row r="31" spans="1:11" x14ac:dyDescent="0.3">
      <c r="A31" s="5" t="s">
        <v>49</v>
      </c>
      <c r="B31" s="13">
        <v>832.2</v>
      </c>
      <c r="C31" s="13">
        <v>832.2</v>
      </c>
      <c r="D31" s="14"/>
      <c r="E31" s="13">
        <v>832.2</v>
      </c>
      <c r="F31" s="13">
        <v>840.7</v>
      </c>
      <c r="G31" s="13">
        <v>840.7</v>
      </c>
      <c r="H31" s="13">
        <v>840.7</v>
      </c>
      <c r="I31" s="13">
        <v>831.8</v>
      </c>
      <c r="J31" s="14"/>
      <c r="K31" s="14"/>
    </row>
    <row r="32" spans="1:11" x14ac:dyDescent="0.3">
      <c r="A32" s="5" t="s">
        <v>50</v>
      </c>
      <c r="B32" s="13">
        <v>952.3</v>
      </c>
      <c r="C32" s="13">
        <v>952.3</v>
      </c>
      <c r="D32" s="14"/>
      <c r="E32" s="13">
        <v>952.3</v>
      </c>
      <c r="F32" s="13">
        <v>940.6</v>
      </c>
      <c r="G32" s="13">
        <v>940.6</v>
      </c>
      <c r="H32" s="13">
        <v>940.6</v>
      </c>
      <c r="I32" s="13">
        <v>949.5</v>
      </c>
      <c r="J32" s="14"/>
      <c r="K32" s="14"/>
    </row>
    <row r="33" spans="1:11" x14ac:dyDescent="0.3">
      <c r="A33" s="5" t="s">
        <v>51</v>
      </c>
      <c r="B33" s="13">
        <v>1007.3</v>
      </c>
      <c r="C33" s="13">
        <v>1007.3</v>
      </c>
      <c r="D33" s="14"/>
      <c r="E33" s="13">
        <v>1007.3</v>
      </c>
      <c r="F33" s="13">
        <v>1004.2</v>
      </c>
      <c r="G33" s="13">
        <v>1004.2</v>
      </c>
      <c r="H33" s="13">
        <v>1004.2</v>
      </c>
      <c r="I33" s="13">
        <v>994.5</v>
      </c>
      <c r="J33" s="14"/>
      <c r="K33" s="14"/>
    </row>
    <row r="34" spans="1:11" x14ac:dyDescent="0.3">
      <c r="A34" s="5" t="s">
        <v>52</v>
      </c>
      <c r="B34" s="13">
        <v>491.9</v>
      </c>
      <c r="C34" s="13">
        <v>491.9</v>
      </c>
      <c r="D34" s="14"/>
      <c r="E34" s="13">
        <v>491.9</v>
      </c>
      <c r="F34" s="13">
        <v>467.3</v>
      </c>
      <c r="G34" s="13">
        <v>467.3</v>
      </c>
      <c r="H34" s="13">
        <v>467.3</v>
      </c>
      <c r="I34" s="13">
        <v>439.8</v>
      </c>
      <c r="J34" s="14"/>
      <c r="K34" s="14"/>
    </row>
    <row r="35" spans="1:11" x14ac:dyDescent="0.3">
      <c r="A35" s="5" t="s">
        <v>53</v>
      </c>
      <c r="B35" s="13">
        <v>419</v>
      </c>
      <c r="C35" s="13">
        <v>419</v>
      </c>
      <c r="D35" s="14"/>
      <c r="E35" s="13">
        <v>419</v>
      </c>
      <c r="F35" s="13">
        <v>415</v>
      </c>
      <c r="G35" s="13">
        <v>415</v>
      </c>
      <c r="H35" s="13">
        <v>415</v>
      </c>
      <c r="I35" s="13">
        <v>435.6</v>
      </c>
      <c r="J35" s="14"/>
      <c r="K35" s="14"/>
    </row>
    <row r="36" spans="1:11" x14ac:dyDescent="0.3">
      <c r="A36" s="5" t="s">
        <v>54</v>
      </c>
      <c r="B36" s="13">
        <v>317</v>
      </c>
      <c r="C36" s="13">
        <v>317</v>
      </c>
      <c r="D36" s="14"/>
      <c r="E36" s="13">
        <v>317</v>
      </c>
      <c r="F36" s="13">
        <v>341.9</v>
      </c>
      <c r="G36" s="13">
        <v>336</v>
      </c>
      <c r="H36" s="13">
        <v>336</v>
      </c>
      <c r="I36" s="13">
        <v>328.4</v>
      </c>
      <c r="J36" s="14"/>
      <c r="K36" s="14"/>
    </row>
    <row r="37" spans="1:11" x14ac:dyDescent="0.3">
      <c r="A37" s="5" t="s">
        <v>55</v>
      </c>
      <c r="B37" s="13">
        <v>755.2</v>
      </c>
      <c r="C37" s="13">
        <v>755.2</v>
      </c>
      <c r="D37" s="14"/>
      <c r="E37" s="13">
        <v>759.2</v>
      </c>
      <c r="F37" s="13">
        <v>759.6</v>
      </c>
      <c r="G37" s="13">
        <v>751.9</v>
      </c>
      <c r="H37" s="13">
        <v>751.9</v>
      </c>
      <c r="I37" s="13">
        <v>734.8</v>
      </c>
      <c r="J37" s="14"/>
      <c r="K37" s="14"/>
    </row>
    <row r="38" spans="1:11" x14ac:dyDescent="0.3">
      <c r="A38" s="5" t="s">
        <v>56</v>
      </c>
      <c r="B38" s="13">
        <v>846.1</v>
      </c>
      <c r="C38" s="13">
        <v>846.1</v>
      </c>
      <c r="D38" s="14"/>
      <c r="E38" s="13">
        <v>846.1</v>
      </c>
      <c r="F38" s="13">
        <v>790.2</v>
      </c>
      <c r="G38" s="13">
        <v>790.2</v>
      </c>
      <c r="H38" s="13">
        <v>790.2</v>
      </c>
      <c r="I38" s="13">
        <v>746.2</v>
      </c>
      <c r="J38" s="14"/>
      <c r="K38" s="14"/>
    </row>
    <row r="40" spans="1:11" x14ac:dyDescent="0.3">
      <c r="A40" s="4" t="s">
        <v>86</v>
      </c>
      <c r="B40" s="4" t="s">
        <v>79</v>
      </c>
      <c r="C40" s="4" t="s">
        <v>80</v>
      </c>
      <c r="D40" s="4" t="s">
        <v>62</v>
      </c>
      <c r="E40" s="4" t="s">
        <v>81</v>
      </c>
      <c r="F40" s="4" t="s">
        <v>82</v>
      </c>
      <c r="G40" s="4" t="s">
        <v>63</v>
      </c>
      <c r="H40" s="4" t="s">
        <v>83</v>
      </c>
      <c r="I40" s="4" t="s">
        <v>64</v>
      </c>
      <c r="J40" s="4" t="s">
        <v>65</v>
      </c>
      <c r="K40" s="4" t="s">
        <v>66</v>
      </c>
    </row>
    <row r="41" spans="1:11" x14ac:dyDescent="0.3">
      <c r="A41" s="5" t="s">
        <v>26</v>
      </c>
      <c r="B41" s="11">
        <f t="shared" ref="B41:K41" si="0">IF(B29="","",B17/B29-1)</f>
        <v>-0.27500973141300111</v>
      </c>
      <c r="C41" s="11">
        <f t="shared" si="0"/>
        <v>-3.260023355391195E-2</v>
      </c>
      <c r="D41" s="11" t="str">
        <f t="shared" si="0"/>
        <v/>
      </c>
      <c r="E41" s="11">
        <f t="shared" si="0"/>
        <v>-0.24990268586998832</v>
      </c>
      <c r="F41" s="11">
        <f t="shared" si="0"/>
        <v>3.1655524970507276E-2</v>
      </c>
      <c r="G41" s="11">
        <f t="shared" si="0"/>
        <v>0.250884781753834</v>
      </c>
      <c r="H41" s="11">
        <f t="shared" si="0"/>
        <v>2.6641761698780853E-2</v>
      </c>
      <c r="I41" s="11">
        <f t="shared" si="0"/>
        <v>-0.31092521669018347</v>
      </c>
      <c r="J41" s="11" t="str">
        <f t="shared" si="0"/>
        <v/>
      </c>
      <c r="K41" s="11" t="str">
        <f t="shared" si="0"/>
        <v/>
      </c>
    </row>
    <row r="42" spans="1:11" x14ac:dyDescent="0.3">
      <c r="A42" s="5" t="s">
        <v>48</v>
      </c>
      <c r="B42" s="11">
        <f t="shared" ref="B42:K42" si="1">IF(B30="","",B18/B30-1)</f>
        <v>-0.37385819921705099</v>
      </c>
      <c r="C42" s="11">
        <f t="shared" si="1"/>
        <v>-0.2777294475859069</v>
      </c>
      <c r="D42" s="11" t="str">
        <f t="shared" si="1"/>
        <v/>
      </c>
      <c r="E42" s="11">
        <f t="shared" si="1"/>
        <v>-5.1544149630273983E-2</v>
      </c>
      <c r="F42" s="11">
        <f t="shared" si="1"/>
        <v>-0.41814865481076158</v>
      </c>
      <c r="G42" s="11">
        <f t="shared" si="1"/>
        <v>-0.14249886000911993</v>
      </c>
      <c r="H42" s="11">
        <f t="shared" si="1"/>
        <v>0.3025535795713632</v>
      </c>
      <c r="I42" s="11">
        <f t="shared" si="1"/>
        <v>9.0845070422535201E-2</v>
      </c>
      <c r="J42" s="11" t="str">
        <f t="shared" si="1"/>
        <v/>
      </c>
      <c r="K42" s="11" t="str">
        <f t="shared" si="1"/>
        <v/>
      </c>
    </row>
    <row r="43" spans="1:11" x14ac:dyDescent="0.3">
      <c r="A43" s="5" t="s">
        <v>49</v>
      </c>
      <c r="B43" s="11">
        <f t="shared" ref="B43:K43" si="2">IF(B31="","",B19/B31-1)</f>
        <v>-0.20127373227589518</v>
      </c>
      <c r="C43" s="11">
        <f t="shared" si="2"/>
        <v>-0.14587839461667873</v>
      </c>
      <c r="D43" s="11" t="str">
        <f t="shared" si="2"/>
        <v/>
      </c>
      <c r="E43" s="11">
        <f t="shared" si="2"/>
        <v>-6.2364816149964031E-2</v>
      </c>
      <c r="F43" s="11">
        <f t="shared" si="2"/>
        <v>0.22766742000713669</v>
      </c>
      <c r="G43" s="11">
        <f t="shared" si="2"/>
        <v>0.265493041513025</v>
      </c>
      <c r="H43" s="11">
        <f t="shared" si="2"/>
        <v>2.9380278339478982E-2</v>
      </c>
      <c r="I43" s="11">
        <f t="shared" si="2"/>
        <v>0.29261841788891574</v>
      </c>
      <c r="J43" s="11" t="str">
        <f t="shared" si="2"/>
        <v/>
      </c>
      <c r="K43" s="11" t="str">
        <f t="shared" si="2"/>
        <v/>
      </c>
    </row>
    <row r="44" spans="1:11" x14ac:dyDescent="0.3">
      <c r="A44" s="5" t="s">
        <v>50</v>
      </c>
      <c r="B44" s="11">
        <f t="shared" ref="B44:K44" si="3">IF(B32="","",B20/B32-1)</f>
        <v>-0.11393468444817811</v>
      </c>
      <c r="C44" s="11">
        <f t="shared" si="3"/>
        <v>0.18765095033077817</v>
      </c>
      <c r="D44" s="11" t="str">
        <f t="shared" si="3"/>
        <v/>
      </c>
      <c r="E44" s="11">
        <f t="shared" si="3"/>
        <v>-8.3167069200882016E-2</v>
      </c>
      <c r="F44" s="11">
        <f t="shared" si="3"/>
        <v>0.43642355943015088</v>
      </c>
      <c r="G44" s="11">
        <f t="shared" si="3"/>
        <v>5.4327025302998155E-2</v>
      </c>
      <c r="H44" s="11">
        <f t="shared" si="3"/>
        <v>2.2326174782054675E-3</v>
      </c>
      <c r="I44" s="11">
        <f t="shared" si="3"/>
        <v>0.23170089520800419</v>
      </c>
      <c r="J44" s="11" t="str">
        <f t="shared" si="3"/>
        <v/>
      </c>
      <c r="K44" s="11" t="str">
        <f t="shared" si="3"/>
        <v/>
      </c>
    </row>
    <row r="45" spans="1:11" x14ac:dyDescent="0.3">
      <c r="A45" s="5" t="s">
        <v>51</v>
      </c>
      <c r="B45" s="11">
        <f t="shared" ref="B45:K45" si="4">IF(B33="","",B21/B33-1)</f>
        <v>-0.27231212151295536</v>
      </c>
      <c r="C45" s="11">
        <f t="shared" si="4"/>
        <v>0.1564578576392337</v>
      </c>
      <c r="D45" s="11" t="str">
        <f t="shared" si="4"/>
        <v/>
      </c>
      <c r="E45" s="11">
        <f t="shared" si="4"/>
        <v>-8.279559217710708E-2</v>
      </c>
      <c r="F45" s="11">
        <f t="shared" si="4"/>
        <v>0.32423819956184019</v>
      </c>
      <c r="G45" s="11">
        <f t="shared" si="4"/>
        <v>0.16122286397132024</v>
      </c>
      <c r="H45" s="11">
        <f t="shared" si="4"/>
        <v>0.18930491933877702</v>
      </c>
      <c r="I45" s="11">
        <f t="shared" si="4"/>
        <v>0.22654600301659111</v>
      </c>
      <c r="J45" s="11" t="str">
        <f t="shared" si="4"/>
        <v/>
      </c>
      <c r="K45" s="11" t="str">
        <f t="shared" si="4"/>
        <v/>
      </c>
    </row>
    <row r="46" spans="1:11" x14ac:dyDescent="0.3">
      <c r="A46" s="5" t="s">
        <v>52</v>
      </c>
      <c r="B46" s="11">
        <f t="shared" ref="B46:K46" si="5">IF(B34="","",B22/B34-1)</f>
        <v>-0.31286846920105704</v>
      </c>
      <c r="C46" s="11">
        <f t="shared" si="5"/>
        <v>-0.28440739987802399</v>
      </c>
      <c r="D46" s="11" t="str">
        <f t="shared" si="5"/>
        <v/>
      </c>
      <c r="E46" s="11">
        <f t="shared" si="5"/>
        <v>0.15694246798129718</v>
      </c>
      <c r="F46" s="11">
        <f t="shared" si="5"/>
        <v>-7.0190455809972185E-2</v>
      </c>
      <c r="G46" s="11">
        <f t="shared" si="5"/>
        <v>-0.1707682430986518</v>
      </c>
      <c r="H46" s="11">
        <f t="shared" si="5"/>
        <v>-6.5268564091589987E-2</v>
      </c>
      <c r="I46" s="11">
        <f t="shared" si="5"/>
        <v>-5.8663028649386106E-2</v>
      </c>
      <c r="J46" s="11" t="str">
        <f t="shared" si="5"/>
        <v/>
      </c>
      <c r="K46" s="11" t="str">
        <f t="shared" si="5"/>
        <v/>
      </c>
    </row>
    <row r="47" spans="1:11" x14ac:dyDescent="0.3">
      <c r="A47" s="5" t="s">
        <v>53</v>
      </c>
      <c r="B47" s="11">
        <f t="shared" ref="B47:K47" si="6">IF(B35="","",B23/B35-1)</f>
        <v>9.8568019093078885E-2</v>
      </c>
      <c r="C47" s="11">
        <f t="shared" si="6"/>
        <v>0.27875894988066818</v>
      </c>
      <c r="D47" s="11" t="str">
        <f t="shared" si="6"/>
        <v/>
      </c>
      <c r="E47" s="11">
        <f t="shared" si="6"/>
        <v>-6.0381861575178997E-2</v>
      </c>
      <c r="F47" s="11">
        <f t="shared" si="6"/>
        <v>0.40650602409638559</v>
      </c>
      <c r="G47" s="11">
        <f t="shared" si="6"/>
        <v>8.4819277108433733E-2</v>
      </c>
      <c r="H47" s="11">
        <f t="shared" si="6"/>
        <v>0.16939759036144575</v>
      </c>
      <c r="I47" s="11">
        <f t="shared" si="6"/>
        <v>0.36822773186409541</v>
      </c>
      <c r="J47" s="11" t="str">
        <f t="shared" si="6"/>
        <v/>
      </c>
      <c r="K47" s="11" t="str">
        <f t="shared" si="6"/>
        <v/>
      </c>
    </row>
    <row r="48" spans="1:11" x14ac:dyDescent="0.3">
      <c r="A48" s="5" t="s">
        <v>54</v>
      </c>
      <c r="B48" s="11">
        <f t="shared" ref="B48:K48" si="7">IF(B36="","",B24/B36-1)</f>
        <v>-9.7791798107255468E-2</v>
      </c>
      <c r="C48" s="11">
        <f t="shared" si="7"/>
        <v>-0.18675078864353312</v>
      </c>
      <c r="D48" s="11" t="str">
        <f t="shared" si="7"/>
        <v/>
      </c>
      <c r="E48" s="11">
        <f t="shared" si="7"/>
        <v>-8.2965299684542582E-2</v>
      </c>
      <c r="F48" s="11">
        <f t="shared" si="7"/>
        <v>0.17461245978356255</v>
      </c>
      <c r="G48" s="11">
        <f t="shared" si="7"/>
        <v>0.2672619047619047</v>
      </c>
      <c r="H48" s="11">
        <f t="shared" si="7"/>
        <v>0.17083333333333317</v>
      </c>
      <c r="I48" s="11">
        <f t="shared" si="7"/>
        <v>0.4518879415347139</v>
      </c>
      <c r="J48" s="11" t="str">
        <f t="shared" si="7"/>
        <v/>
      </c>
      <c r="K48" s="11" t="str">
        <f t="shared" si="7"/>
        <v/>
      </c>
    </row>
    <row r="49" spans="1:11" x14ac:dyDescent="0.3">
      <c r="A49" s="5" t="s">
        <v>55</v>
      </c>
      <c r="B49" s="11">
        <f t="shared" ref="B49:K49" si="8">IF(B37="","",B25/B37-1)</f>
        <v>-0.20444915254237295</v>
      </c>
      <c r="C49" s="11">
        <f t="shared" si="8"/>
        <v>0.19147245762711851</v>
      </c>
      <c r="D49" s="11" t="str">
        <f t="shared" si="8"/>
        <v/>
      </c>
      <c r="E49" s="11">
        <f t="shared" si="8"/>
        <v>-3.4641728134878869E-2</v>
      </c>
      <c r="F49" s="11">
        <f t="shared" si="8"/>
        <v>6.2269615587151161E-2</v>
      </c>
      <c r="G49" s="11">
        <f t="shared" si="8"/>
        <v>0.45737465088442608</v>
      </c>
      <c r="H49" s="11">
        <f t="shared" si="8"/>
        <v>0.38874850379039771</v>
      </c>
      <c r="I49" s="11">
        <f t="shared" si="8"/>
        <v>0.45985302123026695</v>
      </c>
      <c r="J49" s="11" t="str">
        <f t="shared" si="8"/>
        <v/>
      </c>
      <c r="K49" s="11" t="str">
        <f t="shared" si="8"/>
        <v/>
      </c>
    </row>
    <row r="50" spans="1:11" x14ac:dyDescent="0.3">
      <c r="A50" s="5" t="s">
        <v>56</v>
      </c>
      <c r="B50" s="11">
        <f t="shared" ref="B50:K50" si="9">IF(B38="","",B26/B38-1)</f>
        <v>-0.45715636449592245</v>
      </c>
      <c r="C50" s="11">
        <f t="shared" si="9"/>
        <v>-0.1354449828625458</v>
      </c>
      <c r="D50" s="11" t="str">
        <f t="shared" si="9"/>
        <v/>
      </c>
      <c r="E50" s="11">
        <f t="shared" si="9"/>
        <v>-9.5378796832525703E-2</v>
      </c>
      <c r="F50" s="11">
        <f t="shared" si="9"/>
        <v>-8.8964819033156228E-2</v>
      </c>
      <c r="G50" s="11">
        <f t="shared" si="9"/>
        <v>-0.17780308782586685</v>
      </c>
      <c r="H50" s="11">
        <f t="shared" si="9"/>
        <v>-5.1885598582637305E-2</v>
      </c>
      <c r="I50" s="11">
        <f t="shared" si="9"/>
        <v>-0.28517823639774864</v>
      </c>
      <c r="J50" s="11" t="str">
        <f t="shared" si="9"/>
        <v/>
      </c>
      <c r="K50" s="11" t="str">
        <f t="shared" si="9"/>
        <v/>
      </c>
    </row>
    <row r="52" spans="1:11" x14ac:dyDescent="0.3">
      <c r="A52" s="7" t="s">
        <v>87</v>
      </c>
    </row>
    <row r="53" spans="1:11" x14ac:dyDescent="0.3">
      <c r="A53" s="7" t="s">
        <v>88</v>
      </c>
    </row>
    <row r="54" spans="1:11" x14ac:dyDescent="0.3">
      <c r="A54" s="7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8"/>
  <sheetViews>
    <sheetView zoomScaleNormal="100" workbookViewId="0"/>
  </sheetViews>
  <sheetFormatPr defaultColWidth="8.6640625" defaultRowHeight="14.4" x14ac:dyDescent="0.3"/>
  <cols>
    <col min="1" max="1" width="36" customWidth="1"/>
    <col min="2" max="13" width="10" customWidth="1"/>
  </cols>
  <sheetData>
    <row r="1" spans="1:11" ht="16.8" x14ac:dyDescent="0.3">
      <c r="A1" s="8" t="s">
        <v>90</v>
      </c>
    </row>
    <row r="4" spans="1:11" ht="39.6" x14ac:dyDescent="0.3">
      <c r="A4" s="4" t="s">
        <v>91</v>
      </c>
      <c r="B4" s="4" t="s">
        <v>92</v>
      </c>
      <c r="C4" s="4" t="s">
        <v>93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94</v>
      </c>
    </row>
    <row r="5" spans="1:11" x14ac:dyDescent="0.3">
      <c r="A5" s="5" t="s">
        <v>26</v>
      </c>
      <c r="B5" s="13">
        <v>254.3</v>
      </c>
      <c r="C5" s="13">
        <v>244</v>
      </c>
      <c r="D5" s="13">
        <v>239.6</v>
      </c>
      <c r="E5" s="13">
        <v>233.8</v>
      </c>
      <c r="F5" s="13">
        <v>225.6</v>
      </c>
      <c r="G5" s="13">
        <v>223.9</v>
      </c>
      <c r="H5" s="13">
        <v>221.1</v>
      </c>
      <c r="I5" s="13">
        <v>211.2</v>
      </c>
      <c r="J5" s="13">
        <v>209.9</v>
      </c>
      <c r="K5" s="11">
        <f t="shared" ref="K5:K15" si="0">IFERROR(J5/C5-1,"")</f>
        <v>-0.13975409836065567</v>
      </c>
    </row>
    <row r="6" spans="1:11" x14ac:dyDescent="0.3">
      <c r="A6" s="5" t="s">
        <v>48</v>
      </c>
      <c r="B6" s="13">
        <v>97</v>
      </c>
      <c r="C6" s="13">
        <v>93</v>
      </c>
      <c r="D6" s="13">
        <v>102</v>
      </c>
      <c r="E6" s="13">
        <v>114</v>
      </c>
      <c r="F6" s="13">
        <v>108.7</v>
      </c>
      <c r="G6" s="13">
        <v>96.3</v>
      </c>
      <c r="H6" s="13">
        <v>99</v>
      </c>
      <c r="I6" s="13">
        <v>107.7</v>
      </c>
      <c r="J6" s="13">
        <v>107.8</v>
      </c>
      <c r="K6" s="11">
        <f t="shared" si="0"/>
        <v>0.1591397849462366</v>
      </c>
    </row>
    <row r="7" spans="1:11" x14ac:dyDescent="0.3">
      <c r="A7" s="5" t="s">
        <v>49</v>
      </c>
      <c r="B7" s="13">
        <v>480</v>
      </c>
      <c r="C7" s="13">
        <v>450</v>
      </c>
      <c r="D7" s="13">
        <v>397</v>
      </c>
      <c r="E7" s="13">
        <v>370.3</v>
      </c>
      <c r="F7" s="13">
        <v>471.2</v>
      </c>
      <c r="G7" s="13">
        <v>429</v>
      </c>
      <c r="H7" s="13">
        <v>443</v>
      </c>
      <c r="I7" s="13">
        <v>637</v>
      </c>
      <c r="J7" s="13">
        <v>694</v>
      </c>
      <c r="K7" s="11">
        <f t="shared" si="0"/>
        <v>0.54222222222222216</v>
      </c>
    </row>
    <row r="8" spans="1:11" x14ac:dyDescent="0.3">
      <c r="A8" s="5" t="s">
        <v>50</v>
      </c>
      <c r="B8" s="13">
        <v>111</v>
      </c>
      <c r="C8" s="13">
        <v>103</v>
      </c>
      <c r="D8" s="13">
        <v>92</v>
      </c>
      <c r="E8" s="13">
        <v>98</v>
      </c>
      <c r="F8" s="13">
        <v>108</v>
      </c>
      <c r="G8" s="13">
        <v>125</v>
      </c>
      <c r="H8" s="13">
        <v>95</v>
      </c>
      <c r="I8" s="13">
        <v>93</v>
      </c>
      <c r="J8" s="13">
        <v>92</v>
      </c>
      <c r="K8" s="11">
        <f t="shared" si="0"/>
        <v>-0.10679611650485432</v>
      </c>
    </row>
    <row r="9" spans="1:11" x14ac:dyDescent="0.3">
      <c r="A9" s="5" t="s">
        <v>51</v>
      </c>
      <c r="B9" s="13">
        <v>1030</v>
      </c>
      <c r="C9" s="13">
        <v>987</v>
      </c>
      <c r="D9" s="13">
        <v>633.29999999999995</v>
      </c>
      <c r="E9" s="13">
        <v>902</v>
      </c>
      <c r="F9" s="13">
        <v>1162.8</v>
      </c>
      <c r="G9" s="13">
        <v>822.4</v>
      </c>
      <c r="H9" s="13">
        <v>1142.8</v>
      </c>
      <c r="I9" s="13">
        <v>1261.7</v>
      </c>
      <c r="J9" s="13">
        <v>1359.3</v>
      </c>
      <c r="K9" s="11">
        <f t="shared" si="0"/>
        <v>0.37720364741641332</v>
      </c>
    </row>
    <row r="10" spans="1:11" x14ac:dyDescent="0.3">
      <c r="A10" s="5" t="s">
        <v>52</v>
      </c>
      <c r="B10" s="13">
        <v>94</v>
      </c>
      <c r="C10" s="13">
        <v>90</v>
      </c>
      <c r="D10" s="13">
        <v>88</v>
      </c>
      <c r="E10" s="13">
        <v>96</v>
      </c>
      <c r="F10" s="13">
        <v>95</v>
      </c>
      <c r="G10" s="13">
        <v>91</v>
      </c>
      <c r="H10" s="13">
        <v>89.3</v>
      </c>
      <c r="I10" s="13">
        <v>86.8</v>
      </c>
      <c r="J10" s="13">
        <v>90.2</v>
      </c>
      <c r="K10" s="11">
        <f t="shared" si="0"/>
        <v>2.2222222222223476E-3</v>
      </c>
    </row>
    <row r="11" spans="1:11" x14ac:dyDescent="0.3">
      <c r="A11" s="5" t="s">
        <v>53</v>
      </c>
      <c r="B11" s="13">
        <v>5.6</v>
      </c>
      <c r="C11" s="13">
        <v>6.1</v>
      </c>
      <c r="D11" s="13">
        <v>6.9</v>
      </c>
      <c r="E11" s="13">
        <v>5.4</v>
      </c>
      <c r="F11" s="13">
        <v>5.4</v>
      </c>
      <c r="G11" s="13">
        <v>4.5</v>
      </c>
      <c r="H11" s="13">
        <v>5</v>
      </c>
      <c r="I11" s="13">
        <v>4.2</v>
      </c>
      <c r="J11" s="13">
        <v>3.5</v>
      </c>
      <c r="K11" s="11">
        <f t="shared" si="0"/>
        <v>-0.42622950819672123</v>
      </c>
    </row>
    <row r="12" spans="1:11" x14ac:dyDescent="0.3">
      <c r="A12" s="5" t="s">
        <v>54</v>
      </c>
      <c r="B12" s="13">
        <v>263.10000000000002</v>
      </c>
      <c r="C12" s="13">
        <v>252.3</v>
      </c>
      <c r="D12" s="13">
        <v>218.3</v>
      </c>
      <c r="E12" s="13">
        <v>171.9</v>
      </c>
      <c r="F12" s="13">
        <v>166.4</v>
      </c>
      <c r="G12" s="13">
        <v>131.19999999999999</v>
      </c>
      <c r="H12" s="13">
        <v>127.7</v>
      </c>
      <c r="I12" s="13">
        <v>148</v>
      </c>
      <c r="J12" s="13">
        <v>161.4</v>
      </c>
      <c r="K12" s="11">
        <f t="shared" si="0"/>
        <v>-0.36028537455410226</v>
      </c>
    </row>
    <row r="13" spans="1:11" x14ac:dyDescent="0.3">
      <c r="A13" s="5" t="s">
        <v>55</v>
      </c>
      <c r="B13" s="13">
        <v>38</v>
      </c>
      <c r="C13" s="13">
        <v>35</v>
      </c>
      <c r="D13" s="13">
        <v>29</v>
      </c>
      <c r="E13" s="13">
        <v>35</v>
      </c>
      <c r="F13" s="13">
        <v>40</v>
      </c>
      <c r="G13" s="13">
        <v>26</v>
      </c>
      <c r="H13" s="13">
        <v>22</v>
      </c>
      <c r="I13" s="13">
        <v>28</v>
      </c>
      <c r="J13" s="13">
        <v>33</v>
      </c>
      <c r="K13" s="11">
        <f t="shared" si="0"/>
        <v>-5.7142857142857162E-2</v>
      </c>
    </row>
    <row r="14" spans="1:11" x14ac:dyDescent="0.3">
      <c r="A14" s="5" t="s">
        <v>56</v>
      </c>
      <c r="B14" s="13">
        <v>2140.8000000000002</v>
      </c>
      <c r="C14" s="13">
        <v>2169</v>
      </c>
      <c r="D14" s="13">
        <v>2160</v>
      </c>
      <c r="E14" s="13">
        <v>2234</v>
      </c>
      <c r="F14" s="13">
        <v>2224</v>
      </c>
      <c r="G14" s="13">
        <v>2208</v>
      </c>
      <c r="H14" s="13">
        <v>2180</v>
      </c>
      <c r="I14" s="13">
        <v>2177</v>
      </c>
      <c r="J14" s="13">
        <v>2736.1</v>
      </c>
      <c r="K14" s="11">
        <f t="shared" si="0"/>
        <v>0.26145689257722449</v>
      </c>
    </row>
    <row r="15" spans="1:11" x14ac:dyDescent="0.3">
      <c r="A15" s="10" t="s">
        <v>57</v>
      </c>
      <c r="B15" s="13">
        <v>5066.8</v>
      </c>
      <c r="C15" s="13">
        <v>4927.1000000000004</v>
      </c>
      <c r="D15" s="13">
        <v>4435.7</v>
      </c>
      <c r="E15" s="13">
        <v>4737.1000000000004</v>
      </c>
      <c r="F15" s="13">
        <v>5061.1000000000004</v>
      </c>
      <c r="G15" s="13">
        <v>4602.7</v>
      </c>
      <c r="H15" s="13">
        <v>4851.2</v>
      </c>
      <c r="I15" s="13">
        <v>5175.3999999999996</v>
      </c>
      <c r="J15" s="13">
        <v>5883.5</v>
      </c>
      <c r="K15" s="11">
        <f t="shared" si="0"/>
        <v>0.19411012563171015</v>
      </c>
    </row>
    <row r="16" spans="1:11" x14ac:dyDescent="0.3">
      <c r="A16" s="7" t="s">
        <v>95</v>
      </c>
    </row>
    <row r="18" spans="1:8" x14ac:dyDescent="0.3">
      <c r="A18" s="4" t="s">
        <v>96</v>
      </c>
      <c r="B18" s="4" t="s">
        <v>31</v>
      </c>
      <c r="C18" s="4" t="s">
        <v>32</v>
      </c>
      <c r="D18" s="4" t="s">
        <v>33</v>
      </c>
      <c r="E18" s="4" t="s">
        <v>34</v>
      </c>
      <c r="F18" s="4" t="s">
        <v>35</v>
      </c>
      <c r="G18" s="4" t="s">
        <v>36</v>
      </c>
    </row>
    <row r="19" spans="1:8" x14ac:dyDescent="0.3">
      <c r="A19" s="5" t="s">
        <v>26</v>
      </c>
      <c r="B19" s="6">
        <v>2.2599999999999998</v>
      </c>
      <c r="C19" s="6">
        <v>2.2400000000000002</v>
      </c>
      <c r="D19" s="6">
        <v>2.19</v>
      </c>
      <c r="E19" s="6">
        <v>2.11</v>
      </c>
      <c r="F19" s="6">
        <v>2.1</v>
      </c>
      <c r="G19" s="6">
        <v>2.02</v>
      </c>
    </row>
    <row r="20" spans="1:8" x14ac:dyDescent="0.3">
      <c r="A20" s="5" t="s">
        <v>48</v>
      </c>
      <c r="B20" s="6">
        <v>1.0900000000000001</v>
      </c>
      <c r="C20" s="6">
        <v>0.96</v>
      </c>
      <c r="D20" s="6">
        <v>0.99</v>
      </c>
      <c r="E20" s="6">
        <v>1.08</v>
      </c>
      <c r="F20" s="6">
        <v>1.08</v>
      </c>
      <c r="G20" s="6">
        <v>0.9</v>
      </c>
    </row>
    <row r="21" spans="1:8" x14ac:dyDescent="0.3">
      <c r="A21" s="5" t="s">
        <v>49</v>
      </c>
      <c r="B21" s="6">
        <v>4.71</v>
      </c>
      <c r="C21" s="6">
        <v>4.29</v>
      </c>
      <c r="D21" s="6">
        <v>4.43</v>
      </c>
      <c r="E21" s="6">
        <v>6.37</v>
      </c>
      <c r="F21" s="6">
        <v>6.59</v>
      </c>
      <c r="G21" s="6">
        <v>6.26</v>
      </c>
    </row>
    <row r="22" spans="1:8" x14ac:dyDescent="0.3">
      <c r="A22" s="5" t="s">
        <v>50</v>
      </c>
      <c r="B22" s="6">
        <v>1.08</v>
      </c>
      <c r="C22" s="6">
        <v>1.25</v>
      </c>
      <c r="D22" s="6">
        <v>1.1000000000000001</v>
      </c>
      <c r="E22" s="6">
        <v>0.93</v>
      </c>
      <c r="F22" s="6">
        <v>0.92</v>
      </c>
      <c r="G22" s="6">
        <v>1.02</v>
      </c>
    </row>
    <row r="23" spans="1:8" x14ac:dyDescent="0.3">
      <c r="A23" s="5" t="s">
        <v>51</v>
      </c>
      <c r="B23" s="6">
        <v>11.63</v>
      </c>
      <c r="C23" s="6">
        <v>8.2200000000000006</v>
      </c>
      <c r="D23" s="6">
        <v>11.43</v>
      </c>
      <c r="E23" s="6">
        <v>12.62</v>
      </c>
      <c r="F23" s="6">
        <v>13.59</v>
      </c>
      <c r="G23" s="6">
        <v>14</v>
      </c>
    </row>
    <row r="24" spans="1:8" x14ac:dyDescent="0.3">
      <c r="A24" s="5" t="s">
        <v>52</v>
      </c>
      <c r="B24" s="6">
        <v>0.95</v>
      </c>
      <c r="C24" s="6">
        <v>0.91</v>
      </c>
      <c r="D24" s="6">
        <v>0.89</v>
      </c>
      <c r="E24" s="6">
        <v>0.87</v>
      </c>
      <c r="F24" s="6">
        <v>0.9</v>
      </c>
      <c r="G24" s="6">
        <v>0.96</v>
      </c>
    </row>
    <row r="25" spans="1:8" x14ac:dyDescent="0.3">
      <c r="A25" s="5" t="s">
        <v>54</v>
      </c>
      <c r="B25" s="6">
        <v>1.66</v>
      </c>
      <c r="C25" s="6">
        <v>1.31</v>
      </c>
      <c r="D25" s="6">
        <v>1.25</v>
      </c>
      <c r="E25" s="6">
        <v>1.48</v>
      </c>
      <c r="F25" s="6">
        <v>1.59</v>
      </c>
      <c r="G25" s="6">
        <v>1.35</v>
      </c>
    </row>
    <row r="26" spans="1:8" x14ac:dyDescent="0.3">
      <c r="A26" s="5" t="s">
        <v>55</v>
      </c>
      <c r="B26" s="6">
        <v>0.4</v>
      </c>
      <c r="C26" s="6">
        <v>0.26</v>
      </c>
      <c r="D26" s="6">
        <v>0.2</v>
      </c>
      <c r="E26" s="6">
        <v>0.28000000000000003</v>
      </c>
      <c r="F26" s="6">
        <v>0.28000000000000003</v>
      </c>
      <c r="G26" s="6">
        <v>0.27</v>
      </c>
    </row>
    <row r="27" spans="1:8" x14ac:dyDescent="0.3">
      <c r="A27" s="5" t="s">
        <v>56</v>
      </c>
      <c r="B27" s="6">
        <v>22.24</v>
      </c>
      <c r="C27" s="6">
        <v>22.08</v>
      </c>
      <c r="D27" s="6">
        <v>21.8</v>
      </c>
      <c r="E27" s="6">
        <v>21.77</v>
      </c>
      <c r="F27" s="6">
        <v>27.95</v>
      </c>
      <c r="G27" s="6">
        <v>25.28</v>
      </c>
    </row>
    <row r="28" spans="1:8" x14ac:dyDescent="0.3">
      <c r="A28" s="10" t="s">
        <v>57</v>
      </c>
      <c r="B28" s="6">
        <v>50.61</v>
      </c>
      <c r="C28" s="6">
        <v>46.03</v>
      </c>
      <c r="D28" s="6">
        <v>48.57</v>
      </c>
      <c r="E28" s="6">
        <v>51.75</v>
      </c>
      <c r="F28" s="6">
        <v>58.85</v>
      </c>
      <c r="G28" s="6">
        <v>56.48</v>
      </c>
    </row>
    <row r="30" spans="1:8" ht="39.6" x14ac:dyDescent="0.3">
      <c r="A30" s="4" t="s">
        <v>97</v>
      </c>
      <c r="B30" s="4" t="s">
        <v>31</v>
      </c>
      <c r="C30" s="4" t="s">
        <v>32</v>
      </c>
      <c r="D30" s="4" t="s">
        <v>33</v>
      </c>
      <c r="E30" s="4" t="s">
        <v>34</v>
      </c>
      <c r="F30" s="4" t="s">
        <v>35</v>
      </c>
      <c r="G30" s="4" t="s">
        <v>36</v>
      </c>
      <c r="H30" s="4" t="s">
        <v>98</v>
      </c>
    </row>
    <row r="31" spans="1:8" x14ac:dyDescent="0.3">
      <c r="A31" s="5" t="s">
        <v>26</v>
      </c>
      <c r="B31" s="6">
        <v>20.12</v>
      </c>
      <c r="C31" s="6">
        <v>13.58</v>
      </c>
      <c r="D31" s="6">
        <v>10.71</v>
      </c>
      <c r="E31" s="6">
        <v>12.03</v>
      </c>
      <c r="F31" s="6">
        <v>12.74</v>
      </c>
      <c r="G31" s="6">
        <v>11.39</v>
      </c>
      <c r="H31" s="11">
        <f t="shared" ref="H31:H40" si="1">G31/B31-1</f>
        <v>-0.43389662027832998</v>
      </c>
    </row>
    <row r="32" spans="1:8" x14ac:dyDescent="0.3">
      <c r="A32" s="5" t="s">
        <v>48</v>
      </c>
      <c r="B32" s="6">
        <v>8.51</v>
      </c>
      <c r="C32" s="6">
        <v>7.73</v>
      </c>
      <c r="D32" s="6">
        <v>8.5299999999999994</v>
      </c>
      <c r="E32" s="6">
        <v>8.82</v>
      </c>
      <c r="F32" s="6">
        <v>8.86</v>
      </c>
      <c r="G32" s="6">
        <v>7.46</v>
      </c>
      <c r="H32" s="11">
        <f t="shared" si="1"/>
        <v>-0.12338425381903639</v>
      </c>
    </row>
    <row r="33" spans="1:8" x14ac:dyDescent="0.3">
      <c r="A33" s="5" t="s">
        <v>49</v>
      </c>
      <c r="B33" s="6">
        <v>42.41</v>
      </c>
      <c r="C33" s="6">
        <v>38.18</v>
      </c>
      <c r="D33" s="6">
        <v>42.09</v>
      </c>
      <c r="E33" s="6">
        <v>61.15</v>
      </c>
      <c r="F33" s="6">
        <v>59.35</v>
      </c>
      <c r="G33" s="6">
        <v>53.2</v>
      </c>
      <c r="H33" s="11">
        <f t="shared" si="1"/>
        <v>0.25442112709266707</v>
      </c>
    </row>
    <row r="34" spans="1:8" x14ac:dyDescent="0.3">
      <c r="A34" s="5" t="s">
        <v>50</v>
      </c>
      <c r="B34" s="6">
        <v>5.28</v>
      </c>
      <c r="C34" s="6">
        <v>7.43</v>
      </c>
      <c r="D34" s="6">
        <v>5.88</v>
      </c>
      <c r="E34" s="6">
        <v>5.38</v>
      </c>
      <c r="F34" s="6">
        <v>6.44</v>
      </c>
      <c r="G34" s="6">
        <v>7.14</v>
      </c>
      <c r="H34" s="11">
        <f t="shared" si="1"/>
        <v>0.35227272727272707</v>
      </c>
    </row>
    <row r="35" spans="1:8" x14ac:dyDescent="0.3">
      <c r="A35" s="5" t="s">
        <v>51</v>
      </c>
      <c r="B35" s="6">
        <v>89.77</v>
      </c>
      <c r="C35" s="6">
        <v>69.31</v>
      </c>
      <c r="D35" s="6">
        <v>101.6</v>
      </c>
      <c r="E35" s="6">
        <v>116.08</v>
      </c>
      <c r="F35" s="6">
        <v>123.97</v>
      </c>
      <c r="G35" s="6">
        <v>105.99</v>
      </c>
      <c r="H35" s="11">
        <f t="shared" si="1"/>
        <v>0.18068397014592841</v>
      </c>
    </row>
    <row r="36" spans="1:8" x14ac:dyDescent="0.3">
      <c r="A36" s="5" t="s">
        <v>52</v>
      </c>
      <c r="B36" s="6">
        <v>7.77</v>
      </c>
      <c r="C36" s="6">
        <v>7.3</v>
      </c>
      <c r="D36" s="6">
        <v>7.49</v>
      </c>
      <c r="E36" s="6">
        <v>7.13</v>
      </c>
      <c r="F36" s="6">
        <v>7.51</v>
      </c>
      <c r="G36" s="6">
        <v>7.99</v>
      </c>
      <c r="H36" s="11">
        <f t="shared" si="1"/>
        <v>2.8314028314028405E-2</v>
      </c>
    </row>
    <row r="37" spans="1:8" x14ac:dyDescent="0.3">
      <c r="A37" s="5" t="s">
        <v>54</v>
      </c>
      <c r="B37" s="6">
        <v>17.14</v>
      </c>
      <c r="C37" s="6">
        <v>14.12</v>
      </c>
      <c r="D37" s="6">
        <v>12.8</v>
      </c>
      <c r="E37" s="6">
        <v>16.170000000000002</v>
      </c>
      <c r="F37" s="6">
        <v>17.66</v>
      </c>
      <c r="G37" s="6">
        <v>14.41</v>
      </c>
      <c r="H37" s="11">
        <f t="shared" si="1"/>
        <v>-0.15927654609101516</v>
      </c>
    </row>
    <row r="38" spans="1:8" x14ac:dyDescent="0.3">
      <c r="A38" s="5" t="s">
        <v>55</v>
      </c>
      <c r="B38" s="6">
        <v>3.18</v>
      </c>
      <c r="C38" s="6">
        <v>2.0099999999999998</v>
      </c>
      <c r="D38" s="6">
        <v>1.36</v>
      </c>
      <c r="E38" s="6">
        <v>2.87</v>
      </c>
      <c r="F38" s="6">
        <v>2.94</v>
      </c>
      <c r="G38" s="6">
        <v>2.3199999999999998</v>
      </c>
      <c r="H38" s="11">
        <f t="shared" si="1"/>
        <v>-0.27044025157232709</v>
      </c>
    </row>
    <row r="39" spans="1:8" x14ac:dyDescent="0.3">
      <c r="A39" s="5" t="s">
        <v>56</v>
      </c>
      <c r="B39" s="6">
        <v>179.71</v>
      </c>
      <c r="C39" s="6">
        <v>179.54</v>
      </c>
      <c r="D39" s="6">
        <v>177.67</v>
      </c>
      <c r="E39" s="6">
        <v>179.17</v>
      </c>
      <c r="F39" s="6">
        <v>224.25</v>
      </c>
      <c r="G39" s="6">
        <v>205.63</v>
      </c>
      <c r="H39" s="11">
        <f t="shared" si="1"/>
        <v>0.14423237438094705</v>
      </c>
    </row>
    <row r="40" spans="1:8" x14ac:dyDescent="0.3">
      <c r="A40" s="10" t="s">
        <v>57</v>
      </c>
      <c r="B40" s="6">
        <v>405.42</v>
      </c>
      <c r="C40" s="6">
        <v>370.5</v>
      </c>
      <c r="D40" s="6">
        <v>399.26</v>
      </c>
      <c r="E40" s="6">
        <v>439.43</v>
      </c>
      <c r="F40" s="6">
        <v>490.53</v>
      </c>
      <c r="G40" s="6">
        <v>446.43</v>
      </c>
      <c r="H40" s="11">
        <f t="shared" si="1"/>
        <v>0.10115435844309606</v>
      </c>
    </row>
    <row r="41" spans="1:8" x14ac:dyDescent="0.3">
      <c r="A41" s="7" t="s">
        <v>99</v>
      </c>
    </row>
    <row r="43" spans="1:8" x14ac:dyDescent="0.3">
      <c r="A43" s="4" t="s">
        <v>100</v>
      </c>
      <c r="B43" s="4" t="s">
        <v>93</v>
      </c>
      <c r="C43" s="4" t="s">
        <v>29</v>
      </c>
      <c r="D43" s="4" t="s">
        <v>30</v>
      </c>
    </row>
    <row r="44" spans="1:8" x14ac:dyDescent="0.3">
      <c r="A44" s="5" t="s">
        <v>26</v>
      </c>
      <c r="B44" s="15">
        <v>51837</v>
      </c>
      <c r="C44" s="15">
        <v>54415</v>
      </c>
      <c r="D44" s="15">
        <v>59138</v>
      </c>
    </row>
    <row r="45" spans="1:8" x14ac:dyDescent="0.3">
      <c r="A45" s="5" t="s">
        <v>48</v>
      </c>
      <c r="B45" s="15">
        <v>71957</v>
      </c>
      <c r="C45" s="15">
        <v>80618</v>
      </c>
      <c r="D45" s="15">
        <v>84499</v>
      </c>
    </row>
    <row r="46" spans="1:8" x14ac:dyDescent="0.3">
      <c r="A46" s="5" t="s">
        <v>49</v>
      </c>
      <c r="B46" s="15">
        <v>84075</v>
      </c>
      <c r="C46" s="15">
        <v>68962</v>
      </c>
      <c r="D46" s="15">
        <v>84081</v>
      </c>
    </row>
    <row r="47" spans="1:8" x14ac:dyDescent="0.3">
      <c r="A47" s="5" t="s">
        <v>50</v>
      </c>
      <c r="B47" s="15">
        <v>51272</v>
      </c>
      <c r="C47" s="15">
        <v>51413</v>
      </c>
      <c r="D47" s="15">
        <v>55408</v>
      </c>
    </row>
    <row r="48" spans="1:8" x14ac:dyDescent="0.3">
      <c r="A48" s="5" t="s">
        <v>51</v>
      </c>
      <c r="B48" s="15">
        <v>74650</v>
      </c>
      <c r="C48" s="15">
        <v>82524</v>
      </c>
      <c r="D48" s="15">
        <v>92000</v>
      </c>
    </row>
    <row r="49" spans="1:4" x14ac:dyDescent="0.3">
      <c r="A49" s="5" t="s">
        <v>52</v>
      </c>
      <c r="B49" s="15">
        <v>73411</v>
      </c>
      <c r="C49" s="15">
        <v>81273</v>
      </c>
      <c r="D49" s="15">
        <v>83580</v>
      </c>
    </row>
    <row r="50" spans="1:4" x14ac:dyDescent="0.3">
      <c r="A50" s="5" t="s">
        <v>53</v>
      </c>
      <c r="B50" s="15">
        <v>86511</v>
      </c>
      <c r="C50" s="15">
        <v>71294</v>
      </c>
      <c r="D50" s="15">
        <v>70364</v>
      </c>
    </row>
    <row r="51" spans="1:4" x14ac:dyDescent="0.3">
      <c r="A51" s="5" t="s">
        <v>54</v>
      </c>
      <c r="B51" s="15">
        <v>101059</v>
      </c>
      <c r="C51" s="15">
        <v>86995</v>
      </c>
      <c r="D51" s="15">
        <v>99814</v>
      </c>
    </row>
    <row r="52" spans="1:4" x14ac:dyDescent="0.3">
      <c r="A52" s="5" t="s">
        <v>55</v>
      </c>
      <c r="B52" s="15">
        <v>68714</v>
      </c>
      <c r="C52" s="15">
        <v>71069</v>
      </c>
      <c r="D52" s="15">
        <v>74413</v>
      </c>
    </row>
    <row r="53" spans="1:4" x14ac:dyDescent="0.3">
      <c r="A53" s="5" t="s">
        <v>56</v>
      </c>
      <c r="B53" s="15">
        <v>67029</v>
      </c>
      <c r="C53" s="15">
        <v>64893</v>
      </c>
      <c r="D53" s="15">
        <v>79245</v>
      </c>
    </row>
    <row r="54" spans="1:4" x14ac:dyDescent="0.3">
      <c r="A54" s="10" t="s">
        <v>57</v>
      </c>
      <c r="B54" s="15">
        <v>70720</v>
      </c>
      <c r="C54" s="15">
        <v>69001</v>
      </c>
      <c r="D54" s="15">
        <v>80198</v>
      </c>
    </row>
    <row r="56" spans="1:4" x14ac:dyDescent="0.3">
      <c r="A56" s="4" t="s">
        <v>101</v>
      </c>
      <c r="B56" s="4" t="s">
        <v>93</v>
      </c>
      <c r="C56" s="4" t="s">
        <v>29</v>
      </c>
      <c r="D56" s="4" t="s">
        <v>30</v>
      </c>
    </row>
    <row r="57" spans="1:4" x14ac:dyDescent="0.3">
      <c r="A57" s="5" t="s">
        <v>26</v>
      </c>
      <c r="B57" s="6">
        <f t="shared" ref="B57:D67" si="2">C5*B44/1000000</f>
        <v>12.648228</v>
      </c>
      <c r="C57" s="6">
        <f t="shared" si="2"/>
        <v>13.037834</v>
      </c>
      <c r="D57" s="6">
        <f t="shared" si="2"/>
        <v>13.826464400000001</v>
      </c>
    </row>
    <row r="58" spans="1:4" x14ac:dyDescent="0.3">
      <c r="A58" s="5" t="s">
        <v>48</v>
      </c>
      <c r="B58" s="6">
        <f t="shared" si="2"/>
        <v>6.6920010000000003</v>
      </c>
      <c r="C58" s="6">
        <f t="shared" si="2"/>
        <v>8.2230360000000005</v>
      </c>
      <c r="D58" s="6">
        <f t="shared" si="2"/>
        <v>9.6328859999999992</v>
      </c>
    </row>
    <row r="59" spans="1:4" x14ac:dyDescent="0.3">
      <c r="A59" s="5" t="s">
        <v>49</v>
      </c>
      <c r="B59" s="6">
        <f t="shared" si="2"/>
        <v>37.833750000000002</v>
      </c>
      <c r="C59" s="6">
        <f t="shared" si="2"/>
        <v>27.377914000000001</v>
      </c>
      <c r="D59" s="6">
        <f t="shared" si="2"/>
        <v>31.135194300000002</v>
      </c>
    </row>
    <row r="60" spans="1:4" x14ac:dyDescent="0.3">
      <c r="A60" s="5" t="s">
        <v>50</v>
      </c>
      <c r="B60" s="6">
        <f t="shared" si="2"/>
        <v>5.2810160000000002</v>
      </c>
      <c r="C60" s="6">
        <f t="shared" si="2"/>
        <v>4.7299959999999999</v>
      </c>
      <c r="D60" s="6">
        <f t="shared" si="2"/>
        <v>5.4299840000000001</v>
      </c>
    </row>
    <row r="61" spans="1:4" x14ac:dyDescent="0.3">
      <c r="A61" s="5" t="s">
        <v>51</v>
      </c>
      <c r="B61" s="6">
        <f t="shared" si="2"/>
        <v>73.679550000000006</v>
      </c>
      <c r="C61" s="6">
        <f t="shared" si="2"/>
        <v>52.262449199999999</v>
      </c>
      <c r="D61" s="6">
        <f t="shared" si="2"/>
        <v>82.983999999999995</v>
      </c>
    </row>
    <row r="62" spans="1:4" x14ac:dyDescent="0.3">
      <c r="A62" s="5" t="s">
        <v>52</v>
      </c>
      <c r="B62" s="6">
        <f t="shared" si="2"/>
        <v>6.6069899999999997</v>
      </c>
      <c r="C62" s="6">
        <f t="shared" si="2"/>
        <v>7.1520239999999999</v>
      </c>
      <c r="D62" s="6">
        <f t="shared" si="2"/>
        <v>8.0236800000000006</v>
      </c>
    </row>
    <row r="63" spans="1:4" x14ac:dyDescent="0.3">
      <c r="A63" s="5" t="s">
        <v>53</v>
      </c>
      <c r="B63" s="6">
        <f t="shared" si="2"/>
        <v>0.52771709999999994</v>
      </c>
      <c r="C63" s="6">
        <f t="shared" si="2"/>
        <v>0.49192860000000005</v>
      </c>
      <c r="D63" s="6">
        <f t="shared" si="2"/>
        <v>0.37996560000000001</v>
      </c>
    </row>
    <row r="64" spans="1:4" x14ac:dyDescent="0.3">
      <c r="A64" s="5" t="s">
        <v>54</v>
      </c>
      <c r="B64" s="6">
        <f t="shared" si="2"/>
        <v>25.497185700000003</v>
      </c>
      <c r="C64" s="6">
        <f t="shared" si="2"/>
        <v>18.9910085</v>
      </c>
      <c r="D64" s="6">
        <f t="shared" si="2"/>
        <v>17.158026600000003</v>
      </c>
    </row>
    <row r="65" spans="1:4" x14ac:dyDescent="0.3">
      <c r="A65" s="5" t="s">
        <v>55</v>
      </c>
      <c r="B65" s="6">
        <f t="shared" si="2"/>
        <v>2.4049900000000002</v>
      </c>
      <c r="C65" s="6">
        <f t="shared" si="2"/>
        <v>2.0610010000000001</v>
      </c>
      <c r="D65" s="6">
        <f t="shared" si="2"/>
        <v>2.6044550000000002</v>
      </c>
    </row>
    <row r="66" spans="1:4" x14ac:dyDescent="0.3">
      <c r="A66" s="5" t="s">
        <v>56</v>
      </c>
      <c r="B66" s="6">
        <f t="shared" si="2"/>
        <v>145.38590099999999</v>
      </c>
      <c r="C66" s="6">
        <f t="shared" si="2"/>
        <v>140.16888</v>
      </c>
      <c r="D66" s="6">
        <f t="shared" si="2"/>
        <v>177.03333000000001</v>
      </c>
    </row>
    <row r="67" spans="1:4" x14ac:dyDescent="0.3">
      <c r="A67" s="10" t="s">
        <v>57</v>
      </c>
      <c r="B67" s="6">
        <f t="shared" si="2"/>
        <v>348.44451199999997</v>
      </c>
      <c r="C67" s="6">
        <f t="shared" si="2"/>
        <v>306.06773570000001</v>
      </c>
      <c r="D67" s="6">
        <f t="shared" si="2"/>
        <v>379.90594579999998</v>
      </c>
    </row>
    <row r="68" spans="1:4" x14ac:dyDescent="0.3">
      <c r="A68" s="7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"/>
  <sheetViews>
    <sheetView zoomScaleNormal="100" workbookViewId="0"/>
  </sheetViews>
  <sheetFormatPr defaultColWidth="8.6640625" defaultRowHeight="14.4" x14ac:dyDescent="0.3"/>
  <cols>
    <col min="1" max="1" width="28" customWidth="1"/>
    <col min="2" max="12" width="10" customWidth="1"/>
  </cols>
  <sheetData>
    <row r="1" spans="1:11" ht="16.8" x14ac:dyDescent="0.3">
      <c r="A1" s="8" t="s">
        <v>103</v>
      </c>
    </row>
    <row r="4" spans="1:11" ht="39.6" x14ac:dyDescent="0.3">
      <c r="A4" s="4" t="s">
        <v>104</v>
      </c>
      <c r="B4" s="4" t="s">
        <v>92</v>
      </c>
      <c r="C4" s="4" t="s">
        <v>93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94</v>
      </c>
    </row>
    <row r="5" spans="1:11" x14ac:dyDescent="0.3">
      <c r="A5" s="5" t="s">
        <v>26</v>
      </c>
      <c r="B5" s="13">
        <v>3263.4</v>
      </c>
      <c r="C5" s="13">
        <v>3232.3</v>
      </c>
      <c r="D5" s="13">
        <v>3339.8</v>
      </c>
      <c r="E5" s="13">
        <v>3307</v>
      </c>
      <c r="F5" s="13">
        <v>3159.7</v>
      </c>
      <c r="G5" s="13">
        <v>2886.4</v>
      </c>
      <c r="H5" s="13">
        <v>3020.9</v>
      </c>
      <c r="I5" s="13">
        <v>3091.4</v>
      </c>
      <c r="J5" s="13">
        <v>2940.6</v>
      </c>
      <c r="K5" s="11">
        <f t="shared" ref="K5:K15" si="0">J5/C5-1</f>
        <v>-9.0245336138353616E-2</v>
      </c>
    </row>
    <row r="6" spans="1:11" x14ac:dyDescent="0.3">
      <c r="A6" s="5" t="s">
        <v>48</v>
      </c>
      <c r="B6" s="13">
        <v>1287</v>
      </c>
      <c r="C6" s="13">
        <v>1354</v>
      </c>
      <c r="D6" s="13">
        <v>1386</v>
      </c>
      <c r="E6" s="13">
        <v>1422</v>
      </c>
      <c r="F6" s="13">
        <v>1447</v>
      </c>
      <c r="G6" s="13">
        <v>1447</v>
      </c>
      <c r="H6" s="13">
        <v>1327.2</v>
      </c>
      <c r="I6" s="13">
        <v>1281</v>
      </c>
      <c r="J6" s="13">
        <v>1519.7</v>
      </c>
      <c r="K6" s="11">
        <f t="shared" si="0"/>
        <v>0.1223781388478582</v>
      </c>
    </row>
    <row r="7" spans="1:11" x14ac:dyDescent="0.3">
      <c r="A7" s="5" t="s">
        <v>49</v>
      </c>
      <c r="B7" s="13">
        <v>1326</v>
      </c>
      <c r="C7" s="13">
        <v>1110</v>
      </c>
      <c r="D7" s="13">
        <v>1034</v>
      </c>
      <c r="E7" s="13">
        <v>993</v>
      </c>
      <c r="F7" s="13">
        <v>1139.0999999999999</v>
      </c>
      <c r="G7" s="13">
        <v>1185</v>
      </c>
      <c r="H7" s="13">
        <v>1397.1</v>
      </c>
      <c r="I7" s="13">
        <v>1397.9</v>
      </c>
      <c r="J7" s="13">
        <v>1300</v>
      </c>
      <c r="K7" s="11">
        <f t="shared" si="0"/>
        <v>0.1711711711711712</v>
      </c>
    </row>
    <row r="8" spans="1:11" x14ac:dyDescent="0.3">
      <c r="A8" s="5" t="s">
        <v>50</v>
      </c>
      <c r="B8" s="13">
        <v>2153</v>
      </c>
      <c r="C8" s="13">
        <v>2024</v>
      </c>
      <c r="D8" s="13">
        <v>2289</v>
      </c>
      <c r="E8" s="13">
        <v>2035</v>
      </c>
      <c r="F8" s="13">
        <v>2391</v>
      </c>
      <c r="G8" s="13">
        <v>2016</v>
      </c>
      <c r="H8" s="13">
        <v>2117</v>
      </c>
      <c r="I8" s="13">
        <v>2109</v>
      </c>
      <c r="J8" s="13">
        <v>3413.8</v>
      </c>
      <c r="K8" s="11">
        <f t="shared" si="0"/>
        <v>0.68666007905138349</v>
      </c>
    </row>
    <row r="9" spans="1:11" x14ac:dyDescent="0.3">
      <c r="A9" s="5" t="s">
        <v>51</v>
      </c>
      <c r="B9" s="13">
        <v>1551</v>
      </c>
      <c r="C9" s="13">
        <v>1503</v>
      </c>
      <c r="D9" s="13">
        <v>1535.3</v>
      </c>
      <c r="E9" s="13">
        <v>1451</v>
      </c>
      <c r="F9" s="13">
        <v>1464.9</v>
      </c>
      <c r="G9" s="13">
        <v>1553</v>
      </c>
      <c r="H9" s="13">
        <v>1560.6</v>
      </c>
      <c r="I9" s="13">
        <v>1651.8</v>
      </c>
      <c r="J9" s="13">
        <v>1718.1</v>
      </c>
      <c r="K9" s="11">
        <f t="shared" si="0"/>
        <v>0.14311377245508972</v>
      </c>
    </row>
    <row r="10" spans="1:11" x14ac:dyDescent="0.3">
      <c r="A10" s="5" t="s">
        <v>52</v>
      </c>
      <c r="B10" s="13">
        <v>2894</v>
      </c>
      <c r="C10" s="13">
        <v>2975</v>
      </c>
      <c r="D10" s="13">
        <v>2898</v>
      </c>
      <c r="E10" s="13">
        <v>3065</v>
      </c>
      <c r="F10" s="13">
        <v>3103</v>
      </c>
      <c r="G10" s="13">
        <v>2920</v>
      </c>
      <c r="H10" s="13">
        <v>2928</v>
      </c>
      <c r="I10" s="13">
        <v>2969</v>
      </c>
      <c r="J10" s="13">
        <v>3028.5</v>
      </c>
      <c r="K10" s="11">
        <f t="shared" si="0"/>
        <v>1.7983193277310905E-2</v>
      </c>
    </row>
    <row r="11" spans="1:11" x14ac:dyDescent="0.3">
      <c r="A11" s="5" t="s">
        <v>53</v>
      </c>
      <c r="B11" s="13">
        <v>167.8</v>
      </c>
      <c r="C11" s="13">
        <v>182.9</v>
      </c>
      <c r="D11" s="13">
        <v>197.8</v>
      </c>
      <c r="E11" s="13">
        <v>190.6</v>
      </c>
      <c r="F11" s="13">
        <v>197.8</v>
      </c>
      <c r="G11" s="13">
        <v>219.5</v>
      </c>
      <c r="H11" s="13">
        <v>231.5</v>
      </c>
      <c r="I11" s="13">
        <v>196.5</v>
      </c>
      <c r="J11" s="13">
        <v>234.3</v>
      </c>
      <c r="K11" s="11">
        <f t="shared" si="0"/>
        <v>0.2810278840896665</v>
      </c>
    </row>
    <row r="12" spans="1:11" x14ac:dyDescent="0.3">
      <c r="A12" s="5" t="s">
        <v>54</v>
      </c>
      <c r="B12" s="13">
        <v>1795</v>
      </c>
      <c r="C12" s="13">
        <v>2000.2</v>
      </c>
      <c r="D12" s="13">
        <v>1442.8</v>
      </c>
      <c r="E12" s="13">
        <v>1828.9</v>
      </c>
      <c r="F12" s="13">
        <v>1721.3</v>
      </c>
      <c r="G12" s="13">
        <v>1907.4</v>
      </c>
      <c r="H12" s="13">
        <v>2036.2</v>
      </c>
      <c r="I12" s="13">
        <v>2217.3000000000002</v>
      </c>
      <c r="J12" s="13">
        <v>2150.6999999999998</v>
      </c>
      <c r="K12" s="11">
        <f t="shared" si="0"/>
        <v>7.5242475752424598E-2</v>
      </c>
    </row>
    <row r="13" spans="1:11" x14ac:dyDescent="0.3">
      <c r="A13" s="5" t="s">
        <v>55</v>
      </c>
      <c r="B13" s="13">
        <v>1415</v>
      </c>
      <c r="C13" s="13">
        <v>1046</v>
      </c>
      <c r="D13" s="13">
        <v>1682.2</v>
      </c>
      <c r="E13" s="13">
        <v>1962</v>
      </c>
      <c r="F13" s="13">
        <v>1932</v>
      </c>
      <c r="G13" s="13">
        <v>2011</v>
      </c>
      <c r="H13" s="13">
        <v>3186.4</v>
      </c>
      <c r="I13" s="13">
        <v>3654.9</v>
      </c>
      <c r="J13" s="13">
        <v>4548.3999999999996</v>
      </c>
      <c r="K13" s="11">
        <f t="shared" si="0"/>
        <v>3.3483747609942638</v>
      </c>
    </row>
    <row r="14" spans="1:11" x14ac:dyDescent="0.3">
      <c r="A14" s="5" t="s">
        <v>56</v>
      </c>
      <c r="B14" s="13">
        <v>5872</v>
      </c>
      <c r="C14" s="13">
        <v>5862</v>
      </c>
      <c r="D14" s="13">
        <v>5992</v>
      </c>
      <c r="E14" s="13">
        <v>5814</v>
      </c>
      <c r="F14" s="13">
        <v>5748</v>
      </c>
      <c r="G14" s="13">
        <v>5737</v>
      </c>
      <c r="H14" s="13">
        <v>5678</v>
      </c>
      <c r="I14" s="13">
        <v>5703</v>
      </c>
      <c r="J14" s="13">
        <v>5796</v>
      </c>
      <c r="K14" s="11">
        <f t="shared" si="0"/>
        <v>-1.1258955987717534E-2</v>
      </c>
    </row>
    <row r="15" spans="1:11" x14ac:dyDescent="0.3">
      <c r="A15" s="10" t="s">
        <v>57</v>
      </c>
      <c r="B15" s="13">
        <v>44110.6</v>
      </c>
      <c r="C15" s="13">
        <v>43499.199999999997</v>
      </c>
      <c r="D15" s="13">
        <v>43993.4</v>
      </c>
      <c r="E15" s="13">
        <v>43774.1</v>
      </c>
      <c r="F15" s="13">
        <v>44156.5</v>
      </c>
      <c r="G15" s="13">
        <v>43662.3</v>
      </c>
      <c r="H15" s="13">
        <v>45768.7</v>
      </c>
      <c r="I15" s="13">
        <v>46278.7</v>
      </c>
      <c r="J15" s="13">
        <v>47666.400000000001</v>
      </c>
      <c r="K15" s="11">
        <f t="shared" si="0"/>
        <v>9.5799462978629624E-2</v>
      </c>
    </row>
    <row r="16" spans="1:11" x14ac:dyDescent="0.3">
      <c r="A16" s="7" t="s">
        <v>105</v>
      </c>
    </row>
    <row r="18" spans="1:11" ht="39.6" x14ac:dyDescent="0.3">
      <c r="A18" s="4" t="s">
        <v>106</v>
      </c>
      <c r="B18" s="4" t="s">
        <v>92</v>
      </c>
      <c r="C18" s="4" t="s">
        <v>93</v>
      </c>
      <c r="D18" s="4" t="s">
        <v>29</v>
      </c>
      <c r="E18" s="4" t="s">
        <v>30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35</v>
      </c>
      <c r="K18" s="4" t="s">
        <v>94</v>
      </c>
    </row>
    <row r="19" spans="1:11" x14ac:dyDescent="0.3">
      <c r="A19" s="5" t="s">
        <v>26</v>
      </c>
      <c r="B19" s="13">
        <v>6356.7</v>
      </c>
      <c r="C19" s="13">
        <v>6802.2</v>
      </c>
      <c r="D19" s="13">
        <v>8239.2999999999993</v>
      </c>
      <c r="E19" s="13">
        <v>8093.1</v>
      </c>
      <c r="F19" s="13">
        <v>6155.5</v>
      </c>
      <c r="G19" s="13">
        <v>6298</v>
      </c>
      <c r="H19" s="13">
        <v>6747</v>
      </c>
      <c r="I19" s="13">
        <v>7717</v>
      </c>
      <c r="J19" s="13">
        <v>6725.2</v>
      </c>
      <c r="K19" s="11">
        <f t="shared" ref="K19:K29" si="1">J19/C19-1</f>
        <v>-1.131986710181998E-2</v>
      </c>
    </row>
    <row r="20" spans="1:11" x14ac:dyDescent="0.3">
      <c r="A20" s="5" t="s">
        <v>48</v>
      </c>
      <c r="B20" s="13">
        <v>4006</v>
      </c>
      <c r="C20" s="13">
        <v>4145</v>
      </c>
      <c r="D20" s="13">
        <v>4453</v>
      </c>
      <c r="E20" s="13">
        <v>4523.38</v>
      </c>
      <c r="F20" s="13">
        <v>4516.1000000000004</v>
      </c>
      <c r="G20" s="13">
        <v>4824.3</v>
      </c>
      <c r="H20" s="13">
        <v>4424.8999999999996</v>
      </c>
      <c r="I20" s="13">
        <v>4618</v>
      </c>
      <c r="J20" s="13">
        <v>5406.9</v>
      </c>
      <c r="K20" s="11">
        <f t="shared" si="1"/>
        <v>0.30443908323281055</v>
      </c>
    </row>
    <row r="21" spans="1:11" x14ac:dyDescent="0.3">
      <c r="A21" s="5" t="s">
        <v>49</v>
      </c>
      <c r="B21" s="13">
        <v>3541</v>
      </c>
      <c r="C21" s="13">
        <v>3021</v>
      </c>
      <c r="D21" s="13">
        <v>2604.8000000000002</v>
      </c>
      <c r="E21" s="13">
        <v>3017.1</v>
      </c>
      <c r="F21" s="13">
        <v>3431</v>
      </c>
      <c r="G21" s="13">
        <v>3634.5</v>
      </c>
      <c r="H21" s="13">
        <v>4291.8</v>
      </c>
      <c r="I21" s="13">
        <v>4318.3999999999996</v>
      </c>
      <c r="J21" s="13">
        <v>4001.3</v>
      </c>
      <c r="K21" s="11">
        <f t="shared" si="1"/>
        <v>0.32449520026481293</v>
      </c>
    </row>
    <row r="22" spans="1:11" x14ac:dyDescent="0.3">
      <c r="A22" s="5" t="s">
        <v>50</v>
      </c>
      <c r="B22" s="13">
        <v>3625.3</v>
      </c>
      <c r="C22" s="13">
        <v>3546.7</v>
      </c>
      <c r="D22" s="13">
        <v>4226.8</v>
      </c>
      <c r="E22" s="13">
        <v>4123.8999999999996</v>
      </c>
      <c r="F22" s="13">
        <v>4494.7</v>
      </c>
      <c r="G22" s="13">
        <v>4778.2</v>
      </c>
      <c r="H22" s="13">
        <v>4413.8</v>
      </c>
      <c r="I22" s="13">
        <v>4814.8999999999996</v>
      </c>
      <c r="J22" s="13">
        <v>7657.2</v>
      </c>
      <c r="K22" s="11">
        <f t="shared" si="1"/>
        <v>1.1589646713846675</v>
      </c>
    </row>
    <row r="23" spans="1:11" x14ac:dyDescent="0.3">
      <c r="A23" s="5" t="s">
        <v>51</v>
      </c>
      <c r="B23" s="13">
        <v>2946</v>
      </c>
      <c r="C23" s="13">
        <v>2593</v>
      </c>
      <c r="D23" s="13">
        <v>3109.5</v>
      </c>
      <c r="E23" s="13">
        <v>2730.8</v>
      </c>
      <c r="F23" s="13">
        <v>3275.7</v>
      </c>
      <c r="G23" s="13">
        <v>2897.6</v>
      </c>
      <c r="H23" s="13">
        <v>3291.7</v>
      </c>
      <c r="I23" s="13">
        <v>3598.1</v>
      </c>
      <c r="J23" s="13">
        <v>3899.1</v>
      </c>
      <c r="K23" s="11">
        <f t="shared" si="1"/>
        <v>0.50370227535672951</v>
      </c>
    </row>
    <row r="24" spans="1:11" x14ac:dyDescent="0.3">
      <c r="A24" s="5" t="s">
        <v>52</v>
      </c>
      <c r="B24" s="13">
        <v>11107</v>
      </c>
      <c r="C24" s="13">
        <v>11823</v>
      </c>
      <c r="D24" s="13">
        <v>11586.2</v>
      </c>
      <c r="E24" s="13">
        <v>13381.79</v>
      </c>
      <c r="F24" s="13">
        <v>12821.6</v>
      </c>
      <c r="G24" s="13">
        <v>11779.3</v>
      </c>
      <c r="H24" s="13">
        <v>12783.7</v>
      </c>
      <c r="I24" s="13">
        <v>12885.5</v>
      </c>
      <c r="J24" s="13">
        <v>13146.7</v>
      </c>
      <c r="K24" s="11">
        <f t="shared" si="1"/>
        <v>0.11195973949082294</v>
      </c>
    </row>
    <row r="25" spans="1:11" x14ac:dyDescent="0.3">
      <c r="A25" s="5" t="s">
        <v>53</v>
      </c>
      <c r="B25" s="13">
        <v>366.7</v>
      </c>
      <c r="C25" s="13">
        <v>369.8</v>
      </c>
      <c r="D25" s="13">
        <v>452.7</v>
      </c>
      <c r="E25" s="13">
        <v>450.87</v>
      </c>
      <c r="F25" s="13">
        <v>453.2</v>
      </c>
      <c r="G25" s="13">
        <v>480.5</v>
      </c>
      <c r="H25" s="13">
        <v>634</v>
      </c>
      <c r="I25" s="13">
        <v>478.6</v>
      </c>
      <c r="J25" s="13">
        <v>577.4</v>
      </c>
      <c r="K25" s="11">
        <f t="shared" si="1"/>
        <v>0.56138453217955631</v>
      </c>
    </row>
    <row r="26" spans="1:11" x14ac:dyDescent="0.3">
      <c r="A26" s="5" t="s">
        <v>54</v>
      </c>
      <c r="B26" s="13">
        <v>5727.8</v>
      </c>
      <c r="C26" s="13">
        <v>7517.1</v>
      </c>
      <c r="D26" s="13">
        <v>2369.4</v>
      </c>
      <c r="E26" s="13">
        <v>6638.9</v>
      </c>
      <c r="F26" s="13">
        <v>6130.9</v>
      </c>
      <c r="G26" s="13">
        <v>7171.1</v>
      </c>
      <c r="H26" s="13">
        <v>6881.2</v>
      </c>
      <c r="I26" s="13">
        <v>7906.6</v>
      </c>
      <c r="J26" s="13">
        <v>7850.6</v>
      </c>
      <c r="K26" s="11">
        <f t="shared" si="1"/>
        <v>4.4365513296350967E-2</v>
      </c>
    </row>
    <row r="27" spans="1:11" x14ac:dyDescent="0.3">
      <c r="A27" s="5" t="s">
        <v>55</v>
      </c>
      <c r="B27" s="13">
        <v>4440.8</v>
      </c>
      <c r="C27" s="13">
        <v>3047</v>
      </c>
      <c r="D27" s="13">
        <v>5173.3999999999996</v>
      </c>
      <c r="E27" s="13">
        <v>6262.2</v>
      </c>
      <c r="F27" s="13">
        <v>6670</v>
      </c>
      <c r="G27" s="13">
        <v>7427.8</v>
      </c>
      <c r="H27" s="13">
        <v>10217.1</v>
      </c>
      <c r="I27" s="13">
        <v>12409.6</v>
      </c>
      <c r="J27" s="13">
        <v>16013.9</v>
      </c>
      <c r="K27" s="11">
        <f t="shared" si="1"/>
        <v>4.2556284870364296</v>
      </c>
    </row>
    <row r="28" spans="1:11" x14ac:dyDescent="0.3">
      <c r="A28" s="5" t="s">
        <v>56</v>
      </c>
      <c r="B28" s="13">
        <v>12167.9</v>
      </c>
      <c r="C28" s="13">
        <v>12501</v>
      </c>
      <c r="D28" s="13">
        <v>13754</v>
      </c>
      <c r="E28" s="13">
        <v>13274</v>
      </c>
      <c r="F28" s="13">
        <v>15545.3</v>
      </c>
      <c r="G28" s="13">
        <v>15517.8</v>
      </c>
      <c r="H28" s="13">
        <v>15520</v>
      </c>
      <c r="I28" s="13">
        <v>15271.5</v>
      </c>
      <c r="J28" s="13">
        <v>15171.3</v>
      </c>
      <c r="K28" s="11">
        <f t="shared" si="1"/>
        <v>0.21360691144708421</v>
      </c>
    </row>
    <row r="29" spans="1:11" x14ac:dyDescent="0.3">
      <c r="A29" s="10" t="s">
        <v>57</v>
      </c>
      <c r="B29" s="13">
        <v>104798.5</v>
      </c>
      <c r="C29" s="13">
        <v>104408.2</v>
      </c>
      <c r="D29" s="13">
        <v>109698.4</v>
      </c>
      <c r="E29" s="13">
        <v>112757.6</v>
      </c>
      <c r="F29" s="13">
        <v>116477.8</v>
      </c>
      <c r="G29" s="13">
        <v>118870.3</v>
      </c>
      <c r="H29" s="13">
        <v>124368.3</v>
      </c>
      <c r="I29" s="13">
        <v>129471.4</v>
      </c>
      <c r="J29" s="13">
        <v>135542</v>
      </c>
      <c r="K29" s="11">
        <f t="shared" si="1"/>
        <v>0.29819305380228767</v>
      </c>
    </row>
    <row r="30" spans="1:11" x14ac:dyDescent="0.3">
      <c r="A30" s="7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zoomScaleNormal="100" workbookViewId="0"/>
  </sheetViews>
  <sheetFormatPr defaultColWidth="8.6640625" defaultRowHeight="14.4" x14ac:dyDescent="0.3"/>
  <cols>
    <col min="1" max="1" width="28" customWidth="1"/>
    <col min="2" max="12" width="10" customWidth="1"/>
  </cols>
  <sheetData>
    <row r="1" spans="1:11" ht="16.8" x14ac:dyDescent="0.3">
      <c r="A1" s="8" t="s">
        <v>108</v>
      </c>
    </row>
    <row r="2" spans="1:11" x14ac:dyDescent="0.3">
      <c r="A2" s="9" t="s">
        <v>109</v>
      </c>
    </row>
    <row r="4" spans="1:11" ht="39.6" x14ac:dyDescent="0.3">
      <c r="A4" s="4" t="s">
        <v>110</v>
      </c>
      <c r="B4" s="4" t="s">
        <v>92</v>
      </c>
      <c r="C4" s="4" t="s">
        <v>93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94</v>
      </c>
    </row>
    <row r="5" spans="1:11" x14ac:dyDescent="0.3">
      <c r="A5" s="5" t="s">
        <v>26</v>
      </c>
      <c r="B5" s="13">
        <v>732.7</v>
      </c>
      <c r="C5" s="13">
        <v>730</v>
      </c>
      <c r="D5" s="13">
        <v>745.1</v>
      </c>
      <c r="E5" s="13">
        <v>702.2</v>
      </c>
      <c r="F5" s="13">
        <v>699.8</v>
      </c>
      <c r="G5" s="13">
        <v>689.2</v>
      </c>
      <c r="H5" s="13">
        <v>667.1</v>
      </c>
      <c r="I5" s="13">
        <v>678.28</v>
      </c>
      <c r="J5" s="13">
        <v>671.87</v>
      </c>
      <c r="K5" s="11">
        <f t="shared" ref="K5:K15" si="0">J5/C5-1</f>
        <v>-7.9630136986301392E-2</v>
      </c>
    </row>
    <row r="6" spans="1:11" x14ac:dyDescent="0.3">
      <c r="A6" s="5" t="s">
        <v>48</v>
      </c>
      <c r="B6" s="13">
        <v>474</v>
      </c>
      <c r="C6" s="13">
        <v>458</v>
      </c>
      <c r="D6" s="13">
        <v>565</v>
      </c>
      <c r="E6" s="13">
        <v>524</v>
      </c>
      <c r="F6" s="13">
        <v>485.8</v>
      </c>
      <c r="G6" s="13">
        <v>540.79999999999995</v>
      </c>
      <c r="H6" s="13">
        <v>616.4</v>
      </c>
      <c r="I6" s="13">
        <v>514.75</v>
      </c>
      <c r="J6" s="13">
        <v>573.20000000000005</v>
      </c>
      <c r="K6" s="11">
        <f t="shared" si="0"/>
        <v>0.25152838427947599</v>
      </c>
    </row>
    <row r="7" spans="1:11" x14ac:dyDescent="0.3">
      <c r="A7" s="5" t="s">
        <v>49</v>
      </c>
      <c r="B7" s="13">
        <v>3349</v>
      </c>
      <c r="C7" s="13">
        <v>3223</v>
      </c>
      <c r="D7" s="13">
        <v>3179</v>
      </c>
      <c r="E7" s="13">
        <v>3438</v>
      </c>
      <c r="F7" s="13">
        <v>3013.2</v>
      </c>
      <c r="G7" s="13">
        <v>3262.6</v>
      </c>
      <c r="H7" s="13">
        <v>3509</v>
      </c>
      <c r="I7" s="13">
        <v>3230.4</v>
      </c>
      <c r="J7" s="13">
        <v>3302</v>
      </c>
      <c r="K7" s="11">
        <f t="shared" si="0"/>
        <v>2.4511324852621863E-2</v>
      </c>
    </row>
    <row r="8" spans="1:11" x14ac:dyDescent="0.3">
      <c r="A8" s="5" t="s">
        <v>50</v>
      </c>
      <c r="B8" s="13">
        <v>1794</v>
      </c>
      <c r="C8" s="13">
        <v>1848</v>
      </c>
      <c r="D8" s="13">
        <v>2086.6</v>
      </c>
      <c r="E8" s="13">
        <v>2211</v>
      </c>
      <c r="F8" s="13">
        <v>1841</v>
      </c>
      <c r="G8" s="13">
        <v>1921.9</v>
      </c>
      <c r="H8" s="13">
        <v>1947</v>
      </c>
      <c r="I8" s="13">
        <v>1971</v>
      </c>
      <c r="J8" s="13">
        <v>2085</v>
      </c>
      <c r="K8" s="11">
        <f t="shared" si="0"/>
        <v>0.12824675324675328</v>
      </c>
    </row>
    <row r="9" spans="1:11" x14ac:dyDescent="0.3">
      <c r="A9" s="5" t="s">
        <v>51</v>
      </c>
      <c r="B9" s="13">
        <v>5423</v>
      </c>
      <c r="C9" s="13">
        <v>5254</v>
      </c>
      <c r="D9" s="13">
        <v>5211.7</v>
      </c>
      <c r="E9" s="13">
        <v>4242.3</v>
      </c>
      <c r="F9" s="13">
        <v>3320</v>
      </c>
      <c r="G9" s="13">
        <v>4223.8999999999996</v>
      </c>
      <c r="H9" s="13">
        <v>4130.2</v>
      </c>
      <c r="I9" s="13">
        <v>3707.93</v>
      </c>
      <c r="J9" s="13">
        <v>3379.6</v>
      </c>
      <c r="K9" s="11">
        <f t="shared" si="0"/>
        <v>-0.35675675675675678</v>
      </c>
    </row>
    <row r="10" spans="1:11" x14ac:dyDescent="0.3">
      <c r="A10" s="5" t="s">
        <v>52</v>
      </c>
      <c r="B10" s="13">
        <v>137</v>
      </c>
      <c r="C10" s="13">
        <v>124</v>
      </c>
      <c r="D10" s="13">
        <v>125.5</v>
      </c>
      <c r="E10" s="13">
        <v>122.7</v>
      </c>
      <c r="F10" s="13">
        <v>116.9</v>
      </c>
      <c r="G10" s="13">
        <v>121.3</v>
      </c>
      <c r="H10" s="13">
        <v>114.1</v>
      </c>
      <c r="I10" s="13">
        <v>111.4</v>
      </c>
      <c r="J10" s="13">
        <v>101.3</v>
      </c>
      <c r="K10" s="11">
        <f t="shared" si="0"/>
        <v>-0.1830645161290323</v>
      </c>
    </row>
    <row r="11" spans="1:11" x14ac:dyDescent="0.3">
      <c r="A11" s="5" t="s">
        <v>53</v>
      </c>
      <c r="B11" s="13">
        <v>5986.5</v>
      </c>
      <c r="C11" s="13">
        <v>5818.3</v>
      </c>
      <c r="D11" s="13">
        <v>5938.9</v>
      </c>
      <c r="E11" s="13">
        <v>5906.6</v>
      </c>
      <c r="F11" s="13">
        <v>5825.8</v>
      </c>
      <c r="G11" s="13">
        <v>6132.5</v>
      </c>
      <c r="H11" s="13">
        <v>6177.4</v>
      </c>
      <c r="I11" s="13">
        <v>5514.98</v>
      </c>
      <c r="J11" s="13">
        <v>6481.03</v>
      </c>
      <c r="K11" s="11">
        <f t="shared" si="0"/>
        <v>0.11390440506677191</v>
      </c>
    </row>
    <row r="12" spans="1:11" x14ac:dyDescent="0.3">
      <c r="A12" s="5" t="s">
        <v>54</v>
      </c>
      <c r="B12" s="13">
        <v>859.3</v>
      </c>
      <c r="C12" s="13">
        <v>867.2</v>
      </c>
      <c r="D12" s="13">
        <v>718</v>
      </c>
      <c r="E12" s="13">
        <v>885</v>
      </c>
      <c r="F12" s="13">
        <v>924.1</v>
      </c>
      <c r="G12" s="13">
        <v>961.4</v>
      </c>
      <c r="H12" s="13">
        <v>980.4</v>
      </c>
      <c r="I12" s="13">
        <v>954.69</v>
      </c>
      <c r="J12" s="13">
        <v>922.18</v>
      </c>
      <c r="K12" s="11">
        <f t="shared" si="0"/>
        <v>6.3399446494464939E-2</v>
      </c>
    </row>
    <row r="13" spans="1:11" x14ac:dyDescent="0.3">
      <c r="A13" s="5" t="s">
        <v>55</v>
      </c>
      <c r="B13" s="13">
        <v>784</v>
      </c>
      <c r="C13" s="13">
        <v>657</v>
      </c>
      <c r="D13" s="13">
        <v>911</v>
      </c>
      <c r="E13" s="13">
        <v>707</v>
      </c>
      <c r="F13" s="13">
        <v>608</v>
      </c>
      <c r="G13" s="13">
        <v>661</v>
      </c>
      <c r="H13" s="13">
        <v>361</v>
      </c>
      <c r="I13" s="13">
        <v>486.1</v>
      </c>
      <c r="J13" s="13">
        <v>582.70000000000005</v>
      </c>
      <c r="K13" s="11">
        <f t="shared" si="0"/>
        <v>-0.11308980213089792</v>
      </c>
    </row>
    <row r="14" spans="1:11" x14ac:dyDescent="0.3">
      <c r="A14" s="5" t="s">
        <v>56</v>
      </c>
      <c r="B14" s="13">
        <v>2010</v>
      </c>
      <c r="C14" s="13">
        <v>1966</v>
      </c>
      <c r="D14" s="13">
        <v>2008</v>
      </c>
      <c r="E14" s="13">
        <v>1971</v>
      </c>
      <c r="F14" s="13">
        <v>1914</v>
      </c>
      <c r="G14" s="13">
        <v>1989</v>
      </c>
      <c r="H14" s="13">
        <v>2023</v>
      </c>
      <c r="I14" s="13">
        <v>1995</v>
      </c>
      <c r="J14" s="13">
        <v>2021</v>
      </c>
      <c r="K14" s="11">
        <f t="shared" si="0"/>
        <v>2.7975584944048837E-2</v>
      </c>
    </row>
    <row r="15" spans="1:11" x14ac:dyDescent="0.3">
      <c r="A15" s="10" t="s">
        <v>57</v>
      </c>
      <c r="B15" s="13">
        <v>25169.8</v>
      </c>
      <c r="C15" s="13">
        <v>24389.3</v>
      </c>
      <c r="D15" s="13">
        <v>25007.599999999999</v>
      </c>
      <c r="E15" s="13">
        <v>24286.5</v>
      </c>
      <c r="F15" s="13">
        <v>22145.7</v>
      </c>
      <c r="G15" s="13">
        <v>23987.9</v>
      </c>
      <c r="H15" s="13">
        <v>24117.8</v>
      </c>
      <c r="I15" s="13">
        <v>22700.23</v>
      </c>
      <c r="J15" s="13">
        <v>23588.67</v>
      </c>
      <c r="K15" s="11">
        <f t="shared" si="0"/>
        <v>-3.2827100408785892E-2</v>
      </c>
    </row>
    <row r="16" spans="1:11" x14ac:dyDescent="0.3">
      <c r="A16" s="7" t="s">
        <v>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"/>
  <sheetViews>
    <sheetView tabSelected="1" zoomScaleNormal="100" workbookViewId="0"/>
  </sheetViews>
  <sheetFormatPr defaultColWidth="8.6640625" defaultRowHeight="14.4" x14ac:dyDescent="0.3"/>
  <cols>
    <col min="1" max="1" width="26" customWidth="1"/>
    <col min="2" max="10" width="11" customWidth="1"/>
  </cols>
  <sheetData>
    <row r="1" spans="1:9" ht="16.8" x14ac:dyDescent="0.3">
      <c r="A1" s="8" t="s">
        <v>112</v>
      </c>
    </row>
    <row r="2" spans="1:9" x14ac:dyDescent="0.3">
      <c r="A2" s="9" t="s">
        <v>113</v>
      </c>
    </row>
    <row r="4" spans="1:9" x14ac:dyDescent="0.3">
      <c r="A4" s="4" t="s">
        <v>23</v>
      </c>
      <c r="B4" s="4" t="s">
        <v>42</v>
      </c>
      <c r="C4" s="4" t="s">
        <v>43</v>
      </c>
      <c r="D4" s="4" t="s">
        <v>27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11</v>
      </c>
    </row>
    <row r="5" spans="1:9" x14ac:dyDescent="0.3">
      <c r="A5" s="5" t="s">
        <v>93</v>
      </c>
      <c r="B5" s="13">
        <v>1044.08</v>
      </c>
      <c r="C5" s="13">
        <v>922.88</v>
      </c>
      <c r="D5" s="13">
        <v>225.67</v>
      </c>
      <c r="E5" s="13">
        <v>42.38</v>
      </c>
      <c r="F5" s="13">
        <v>80.67</v>
      </c>
      <c r="G5" s="13">
        <v>18.22</v>
      </c>
      <c r="H5" s="13">
        <v>3484.48</v>
      </c>
      <c r="I5" s="5" t="s">
        <v>114</v>
      </c>
    </row>
    <row r="6" spans="1:9" x14ac:dyDescent="0.3">
      <c r="A6" s="5" t="s">
        <v>29</v>
      </c>
      <c r="B6" s="13">
        <v>1096.98</v>
      </c>
      <c r="C6" s="13">
        <v>985.1</v>
      </c>
      <c r="D6" s="13">
        <v>259</v>
      </c>
      <c r="E6" s="13">
        <v>45.68</v>
      </c>
      <c r="F6" s="13">
        <v>97.3</v>
      </c>
      <c r="G6" s="13">
        <v>13.85</v>
      </c>
      <c r="H6" s="13">
        <v>3060.69</v>
      </c>
      <c r="I6" s="5" t="s">
        <v>114</v>
      </c>
    </row>
    <row r="7" spans="1:9" x14ac:dyDescent="0.3">
      <c r="A7" s="5" t="s">
        <v>30</v>
      </c>
      <c r="B7" s="13">
        <v>1127.58</v>
      </c>
      <c r="C7" s="13">
        <v>998.7</v>
      </c>
      <c r="D7" s="13">
        <v>287.52999999999997</v>
      </c>
      <c r="E7" s="13">
        <v>48.03</v>
      </c>
      <c r="F7" s="13">
        <v>92.09</v>
      </c>
      <c r="G7" s="13">
        <v>19.850000000000001</v>
      </c>
      <c r="H7" s="13">
        <v>3799.05</v>
      </c>
      <c r="I7" s="5" t="s">
        <v>114</v>
      </c>
    </row>
    <row r="8" spans="1:9" x14ac:dyDescent="0.3">
      <c r="A8" s="5" t="s">
        <v>31</v>
      </c>
      <c r="B8" s="13">
        <v>1164.78</v>
      </c>
      <c r="C8" s="13">
        <v>1035.96</v>
      </c>
      <c r="D8" s="13">
        <v>277.14999999999998</v>
      </c>
      <c r="E8" s="13">
        <v>34.75</v>
      </c>
      <c r="F8" s="13">
        <v>86.64</v>
      </c>
      <c r="G8" s="13">
        <v>12.39</v>
      </c>
      <c r="H8" s="13">
        <v>4054.16</v>
      </c>
      <c r="I8" s="5" t="s">
        <v>114</v>
      </c>
    </row>
    <row r="9" spans="1:9" x14ac:dyDescent="0.3">
      <c r="A9" s="5" t="s">
        <v>32</v>
      </c>
      <c r="B9" s="13">
        <v>1188.7</v>
      </c>
      <c r="C9" s="13">
        <v>1078.6099999999999</v>
      </c>
      <c r="D9" s="13">
        <v>287.66000000000003</v>
      </c>
      <c r="E9" s="13">
        <v>47.72</v>
      </c>
      <c r="F9" s="13">
        <v>103.63</v>
      </c>
      <c r="G9" s="13">
        <v>17.55</v>
      </c>
      <c r="H9" s="13">
        <v>3705</v>
      </c>
      <c r="I9" s="5" t="s">
        <v>114</v>
      </c>
    </row>
    <row r="10" spans="1:9" x14ac:dyDescent="0.3">
      <c r="A10" s="5" t="s">
        <v>33</v>
      </c>
      <c r="B10" s="13">
        <v>1243.68</v>
      </c>
      <c r="C10" s="13">
        <v>1095.8599999999999</v>
      </c>
      <c r="D10" s="13">
        <v>316.47000000000003</v>
      </c>
      <c r="E10" s="13">
        <v>48.12</v>
      </c>
      <c r="F10" s="13">
        <v>108.63</v>
      </c>
      <c r="G10" s="13">
        <v>19.98</v>
      </c>
      <c r="H10" s="13">
        <v>4053.99</v>
      </c>
      <c r="I10" s="5" t="s">
        <v>114</v>
      </c>
    </row>
    <row r="11" spans="1:9" x14ac:dyDescent="0.3">
      <c r="A11" s="5" t="s">
        <v>34</v>
      </c>
      <c r="B11" s="13">
        <v>1294.71</v>
      </c>
      <c r="C11" s="13">
        <v>1077.42</v>
      </c>
      <c r="D11" s="13">
        <v>337.3</v>
      </c>
      <c r="E11" s="13">
        <v>41.51</v>
      </c>
      <c r="F11" s="13">
        <v>97.81</v>
      </c>
      <c r="G11" s="13">
        <v>17.010000000000002</v>
      </c>
      <c r="H11" s="13">
        <v>4394.25</v>
      </c>
      <c r="I11" s="5" t="s">
        <v>114</v>
      </c>
    </row>
    <row r="12" spans="1:9" x14ac:dyDescent="0.3">
      <c r="A12" s="5" t="s">
        <v>35</v>
      </c>
      <c r="B12" s="13">
        <v>1357.55</v>
      </c>
      <c r="C12" s="13">
        <v>1105.54</v>
      </c>
      <c r="D12" s="13">
        <v>380.85</v>
      </c>
      <c r="E12" s="13">
        <v>38.14</v>
      </c>
      <c r="F12" s="13">
        <v>114.31</v>
      </c>
      <c r="G12" s="13">
        <v>16.91</v>
      </c>
      <c r="H12" s="13">
        <v>4905.33</v>
      </c>
      <c r="I12" s="5" t="s">
        <v>114</v>
      </c>
    </row>
    <row r="13" spans="1:9" x14ac:dyDescent="0.3">
      <c r="A13" s="5" t="s">
        <v>36</v>
      </c>
      <c r="B13" s="13">
        <v>1378.25</v>
      </c>
      <c r="C13" s="13">
        <v>1132.92</v>
      </c>
      <c r="D13" s="13">
        <v>376.65</v>
      </c>
      <c r="E13" s="13">
        <v>47.37</v>
      </c>
      <c r="F13" s="13">
        <v>107.16</v>
      </c>
      <c r="G13" s="13">
        <v>16.7</v>
      </c>
      <c r="H13" s="13">
        <v>4531.58</v>
      </c>
      <c r="I13" s="5" t="s">
        <v>114</v>
      </c>
    </row>
    <row r="14" spans="1:9" x14ac:dyDescent="0.3">
      <c r="A14" s="5" t="s">
        <v>37</v>
      </c>
      <c r="B14" s="13">
        <v>1501.84</v>
      </c>
      <c r="C14" s="13">
        <v>1179.45</v>
      </c>
      <c r="D14" s="13">
        <v>434.09</v>
      </c>
      <c r="E14" s="13">
        <v>49.55</v>
      </c>
      <c r="F14" s="13">
        <v>112.05</v>
      </c>
      <c r="G14" s="13">
        <v>19.77</v>
      </c>
      <c r="H14" s="13">
        <v>4546.1099999999997</v>
      </c>
      <c r="I14" s="5" t="s">
        <v>114</v>
      </c>
    </row>
    <row r="15" spans="1:9" x14ac:dyDescent="0.3">
      <c r="A15" s="5" t="s">
        <v>38</v>
      </c>
      <c r="B15" s="13">
        <v>1540.24</v>
      </c>
      <c r="C15" s="13">
        <v>1206.57</v>
      </c>
      <c r="D15" s="13">
        <v>550.92999999999995</v>
      </c>
      <c r="E15" s="13">
        <v>43.56</v>
      </c>
      <c r="F15" s="13">
        <v>108.48</v>
      </c>
      <c r="G15" s="13">
        <v>20</v>
      </c>
      <c r="H15" s="13">
        <v>5000.63</v>
      </c>
      <c r="I15" s="5" t="s">
        <v>115</v>
      </c>
    </row>
    <row r="16" spans="1:9" x14ac:dyDescent="0.3">
      <c r="A16" s="10" t="s">
        <v>116</v>
      </c>
      <c r="B16" s="16">
        <f t="shared" ref="B16:H16" si="0">B14/B5-1</f>
        <v>0.43843383648762546</v>
      </c>
      <c r="C16" s="16">
        <f t="shared" si="0"/>
        <v>0.2780101421636616</v>
      </c>
      <c r="D16" s="16">
        <f t="shared" si="0"/>
        <v>0.92356095183232156</v>
      </c>
      <c r="E16" s="16">
        <f t="shared" si="0"/>
        <v>0.16918357715903709</v>
      </c>
      <c r="F16" s="16">
        <f t="shared" si="0"/>
        <v>0.38899219040535504</v>
      </c>
      <c r="G16" s="16">
        <f t="shared" si="0"/>
        <v>8.507135016465428E-2</v>
      </c>
      <c r="H16" s="16">
        <f t="shared" si="0"/>
        <v>0.3046738681237946</v>
      </c>
    </row>
    <row r="18" spans="1:1" x14ac:dyDescent="0.3">
      <c r="A18" s="7" t="s">
        <v>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8" customWidth="1"/>
    <col min="3" max="16" width="9" customWidth="1"/>
  </cols>
  <sheetData>
    <row r="1" spans="1:15" ht="16.8" x14ac:dyDescent="0.3">
      <c r="A1" s="8" t="s">
        <v>118</v>
      </c>
    </row>
    <row r="2" spans="1:15" x14ac:dyDescent="0.3">
      <c r="A2" s="9" t="s">
        <v>119</v>
      </c>
    </row>
    <row r="4" spans="1:15" ht="52.8" x14ac:dyDescent="0.3">
      <c r="A4" s="4" t="s">
        <v>21</v>
      </c>
      <c r="B4" s="4" t="s">
        <v>120</v>
      </c>
      <c r="C4" s="4" t="s">
        <v>93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116</v>
      </c>
      <c r="O4" s="4" t="s">
        <v>121</v>
      </c>
    </row>
    <row r="5" spans="1:15" x14ac:dyDescent="0.3">
      <c r="A5" s="5" t="s">
        <v>122</v>
      </c>
      <c r="B5" s="5" t="s">
        <v>123</v>
      </c>
      <c r="C5" s="15">
        <v>1410</v>
      </c>
      <c r="D5" s="15">
        <v>1470</v>
      </c>
      <c r="E5" s="15">
        <v>1550</v>
      </c>
      <c r="F5" s="15">
        <v>1750</v>
      </c>
      <c r="G5" s="15">
        <v>1815</v>
      </c>
      <c r="H5" s="15">
        <v>1868</v>
      </c>
      <c r="I5" s="15">
        <v>1940</v>
      </c>
      <c r="J5" s="15">
        <v>2040</v>
      </c>
      <c r="K5" s="15">
        <v>2183</v>
      </c>
      <c r="L5" s="15">
        <v>2300</v>
      </c>
      <c r="M5" s="15">
        <v>2369</v>
      </c>
      <c r="N5" s="11">
        <f t="shared" ref="N5:N14" si="0">L5/C5-1</f>
        <v>0.63120567375886516</v>
      </c>
      <c r="O5" s="11">
        <f t="shared" ref="O5:O14" si="1">F5/E5-1</f>
        <v>0.12903225806451624</v>
      </c>
    </row>
    <row r="6" spans="1:15" x14ac:dyDescent="0.3">
      <c r="A6" s="5" t="s">
        <v>27</v>
      </c>
      <c r="B6" s="5" t="s">
        <v>123</v>
      </c>
      <c r="C6" s="15">
        <v>1325</v>
      </c>
      <c r="D6" s="15">
        <v>1365</v>
      </c>
      <c r="E6" s="15">
        <v>1425</v>
      </c>
      <c r="F6" s="15">
        <v>1700</v>
      </c>
      <c r="G6" s="15">
        <v>1760</v>
      </c>
      <c r="H6" s="15">
        <v>1850</v>
      </c>
      <c r="I6" s="15">
        <v>1870</v>
      </c>
      <c r="J6" s="15">
        <v>1962</v>
      </c>
      <c r="K6" s="15">
        <v>2090</v>
      </c>
      <c r="L6" s="15">
        <v>2225</v>
      </c>
      <c r="M6" s="15">
        <v>2400</v>
      </c>
      <c r="N6" s="11">
        <f t="shared" si="0"/>
        <v>0.679245283018868</v>
      </c>
      <c r="O6" s="11">
        <f t="shared" si="1"/>
        <v>0.19298245614035081</v>
      </c>
    </row>
    <row r="7" spans="1:15" x14ac:dyDescent="0.3">
      <c r="A7" s="5" t="s">
        <v>124</v>
      </c>
      <c r="B7" s="5" t="s">
        <v>123</v>
      </c>
      <c r="C7" s="15">
        <v>1570</v>
      </c>
      <c r="D7" s="15">
        <v>1625</v>
      </c>
      <c r="E7" s="15">
        <v>1700</v>
      </c>
      <c r="F7" s="15">
        <v>2430</v>
      </c>
      <c r="G7" s="15">
        <v>2550</v>
      </c>
      <c r="H7" s="15">
        <v>2620</v>
      </c>
      <c r="I7" s="15">
        <v>2738</v>
      </c>
      <c r="J7" s="15">
        <v>2970</v>
      </c>
      <c r="K7" s="15">
        <v>3180</v>
      </c>
      <c r="L7" s="15">
        <v>3371</v>
      </c>
      <c r="M7" s="15">
        <v>3699</v>
      </c>
      <c r="N7" s="11">
        <f t="shared" si="0"/>
        <v>1.1471337579617833</v>
      </c>
      <c r="O7" s="11">
        <f t="shared" si="1"/>
        <v>0.42941176470588238</v>
      </c>
    </row>
    <row r="8" spans="1:15" x14ac:dyDescent="0.3">
      <c r="A8" s="5" t="s">
        <v>45</v>
      </c>
      <c r="B8" s="5" t="s">
        <v>123</v>
      </c>
      <c r="C8" s="15">
        <v>1275</v>
      </c>
      <c r="D8" s="15">
        <v>1330</v>
      </c>
      <c r="E8" s="15">
        <v>1425</v>
      </c>
      <c r="F8" s="15">
        <v>1950</v>
      </c>
      <c r="G8" s="15">
        <v>2000</v>
      </c>
      <c r="H8" s="15">
        <v>2150</v>
      </c>
      <c r="I8" s="15">
        <v>2250</v>
      </c>
      <c r="J8" s="15">
        <v>2350</v>
      </c>
      <c r="K8" s="15">
        <v>2500</v>
      </c>
      <c r="L8" s="15">
        <v>2625</v>
      </c>
      <c r="M8" s="15">
        <v>2775</v>
      </c>
      <c r="N8" s="11">
        <f t="shared" si="0"/>
        <v>1.0588235294117645</v>
      </c>
      <c r="O8" s="11">
        <f t="shared" si="1"/>
        <v>0.36842105263157898</v>
      </c>
    </row>
    <row r="9" spans="1:15" x14ac:dyDescent="0.3">
      <c r="A9" s="5" t="s">
        <v>46</v>
      </c>
      <c r="B9" s="5" t="s">
        <v>123</v>
      </c>
      <c r="C9" s="15">
        <v>1650</v>
      </c>
      <c r="D9" s="15">
        <v>1725</v>
      </c>
      <c r="E9" s="15">
        <v>1900</v>
      </c>
      <c r="F9" s="15">
        <v>2897</v>
      </c>
      <c r="G9" s="15">
        <v>3150</v>
      </c>
      <c r="H9" s="15">
        <v>3295</v>
      </c>
      <c r="I9" s="15">
        <v>3377</v>
      </c>
      <c r="J9" s="15">
        <v>3578</v>
      </c>
      <c r="K9" s="15">
        <v>3846</v>
      </c>
      <c r="L9" s="15">
        <v>4290</v>
      </c>
      <c r="M9" s="15">
        <v>4886</v>
      </c>
      <c r="N9" s="11">
        <f t="shared" si="0"/>
        <v>1.6</v>
      </c>
      <c r="O9" s="11">
        <f t="shared" si="1"/>
        <v>0.52473684210526317</v>
      </c>
    </row>
    <row r="10" spans="1:15" x14ac:dyDescent="0.3">
      <c r="A10" s="5" t="s">
        <v>125</v>
      </c>
      <c r="B10" s="5" t="s">
        <v>123</v>
      </c>
      <c r="C10" s="15">
        <v>4625</v>
      </c>
      <c r="D10" s="15">
        <v>5050</v>
      </c>
      <c r="E10" s="15">
        <v>5450</v>
      </c>
      <c r="F10" s="15">
        <v>5675</v>
      </c>
      <c r="G10" s="15">
        <v>5800</v>
      </c>
      <c r="H10" s="15">
        <v>6000</v>
      </c>
      <c r="I10" s="15">
        <v>6300</v>
      </c>
      <c r="J10" s="15">
        <v>6600</v>
      </c>
      <c r="K10" s="15">
        <v>7000</v>
      </c>
      <c r="L10" s="15">
        <v>7550</v>
      </c>
      <c r="M10" s="15">
        <v>8000</v>
      </c>
      <c r="N10" s="11">
        <f t="shared" si="0"/>
        <v>0.63243243243243241</v>
      </c>
      <c r="O10" s="11">
        <f t="shared" si="1"/>
        <v>4.1284403669724856E-2</v>
      </c>
    </row>
    <row r="11" spans="1:15" x14ac:dyDescent="0.3">
      <c r="A11" s="5" t="s">
        <v>126</v>
      </c>
      <c r="B11" s="5" t="s">
        <v>123</v>
      </c>
      <c r="C11" s="15">
        <v>4850</v>
      </c>
      <c r="D11" s="15">
        <v>5225</v>
      </c>
      <c r="E11" s="15">
        <v>5575</v>
      </c>
      <c r="F11" s="15">
        <v>6975</v>
      </c>
      <c r="G11" s="15">
        <v>7050</v>
      </c>
      <c r="H11" s="15">
        <v>7196</v>
      </c>
      <c r="I11" s="15">
        <v>7275</v>
      </c>
      <c r="J11" s="15">
        <v>7755</v>
      </c>
      <c r="K11" s="15">
        <v>8558</v>
      </c>
      <c r="L11" s="15">
        <v>8682</v>
      </c>
      <c r="M11" s="15">
        <v>8768</v>
      </c>
      <c r="N11" s="11">
        <f t="shared" si="0"/>
        <v>0.7901030927835051</v>
      </c>
      <c r="O11" s="11">
        <f t="shared" si="1"/>
        <v>0.25112107623318392</v>
      </c>
    </row>
    <row r="12" spans="1:15" x14ac:dyDescent="0.3">
      <c r="A12" s="5" t="s">
        <v>127</v>
      </c>
      <c r="B12" s="5" t="s">
        <v>123</v>
      </c>
      <c r="C12" s="15">
        <v>4625</v>
      </c>
      <c r="D12" s="15">
        <v>5000</v>
      </c>
      <c r="E12" s="15">
        <v>5400</v>
      </c>
      <c r="F12" s="15">
        <v>5600</v>
      </c>
      <c r="G12" s="15">
        <v>5700</v>
      </c>
      <c r="H12" s="15">
        <v>6000</v>
      </c>
      <c r="I12" s="15">
        <v>6300</v>
      </c>
      <c r="J12" s="15">
        <v>6600</v>
      </c>
      <c r="K12" s="15">
        <v>6950</v>
      </c>
      <c r="L12" s="15">
        <v>7400</v>
      </c>
      <c r="M12" s="15">
        <v>7800</v>
      </c>
      <c r="N12" s="11">
        <f t="shared" si="0"/>
        <v>0.60000000000000009</v>
      </c>
      <c r="O12" s="11">
        <f t="shared" si="1"/>
        <v>3.7037037037036979E-2</v>
      </c>
    </row>
    <row r="13" spans="1:15" x14ac:dyDescent="0.3">
      <c r="A13" s="5" t="s">
        <v>43</v>
      </c>
      <c r="B13" s="5" t="s">
        <v>128</v>
      </c>
      <c r="C13" s="15">
        <v>1525</v>
      </c>
      <c r="D13" s="15">
        <v>1625</v>
      </c>
      <c r="E13" s="15">
        <v>1735</v>
      </c>
      <c r="F13" s="15">
        <v>1840</v>
      </c>
      <c r="G13" s="15">
        <v>1925</v>
      </c>
      <c r="H13" s="15">
        <v>1975</v>
      </c>
      <c r="I13" s="15">
        <v>2015</v>
      </c>
      <c r="J13" s="15">
        <v>2125</v>
      </c>
      <c r="K13" s="15">
        <v>2275</v>
      </c>
      <c r="L13" s="15">
        <v>2425</v>
      </c>
      <c r="M13" s="15">
        <v>2585</v>
      </c>
      <c r="N13" s="11">
        <f t="shared" si="0"/>
        <v>0.5901639344262295</v>
      </c>
      <c r="O13" s="11">
        <f t="shared" si="1"/>
        <v>6.0518731988472574E-2</v>
      </c>
    </row>
    <row r="14" spans="1:15" x14ac:dyDescent="0.3">
      <c r="A14" s="5" t="s">
        <v>129</v>
      </c>
      <c r="B14" s="5" t="s">
        <v>130</v>
      </c>
      <c r="C14" s="15">
        <v>230</v>
      </c>
      <c r="D14" s="15">
        <v>230</v>
      </c>
      <c r="E14" s="15">
        <v>255</v>
      </c>
      <c r="F14" s="15">
        <v>275</v>
      </c>
      <c r="G14" s="15">
        <v>275</v>
      </c>
      <c r="H14" s="15">
        <v>285</v>
      </c>
      <c r="I14" s="15">
        <v>290</v>
      </c>
      <c r="J14" s="15">
        <v>305</v>
      </c>
      <c r="K14" s="15">
        <v>315</v>
      </c>
      <c r="L14" s="15">
        <v>340</v>
      </c>
      <c r="M14" s="15">
        <v>355</v>
      </c>
      <c r="N14" s="11">
        <f t="shared" si="0"/>
        <v>0.47826086956521729</v>
      </c>
      <c r="O14" s="11">
        <f t="shared" si="1"/>
        <v>7.8431372549019551E-2</v>
      </c>
    </row>
    <row r="15" spans="1:15" x14ac:dyDescent="0.3">
      <c r="A15" s="5" t="s">
        <v>131</v>
      </c>
      <c r="B15" s="5" t="s">
        <v>130</v>
      </c>
      <c r="C15" s="6">
        <v>9.5</v>
      </c>
      <c r="D15" s="6">
        <v>9.5</v>
      </c>
      <c r="E15" s="6">
        <v>9.5</v>
      </c>
      <c r="F15" s="6">
        <v>10</v>
      </c>
      <c r="G15" s="6">
        <v>10</v>
      </c>
      <c r="H15" s="6">
        <v>10</v>
      </c>
      <c r="I15" s="6">
        <v>10</v>
      </c>
      <c r="J15" s="6">
        <v>10.25</v>
      </c>
      <c r="K15" s="6">
        <v>10.25</v>
      </c>
      <c r="L15" s="6">
        <v>10.25</v>
      </c>
      <c r="M15" s="6">
        <v>10.25</v>
      </c>
    </row>
    <row r="16" spans="1:15" x14ac:dyDescent="0.3">
      <c r="A16" s="7" t="s">
        <v>132</v>
      </c>
    </row>
    <row r="17" spans="1:1" x14ac:dyDescent="0.3">
      <c r="A17" s="7" t="s">
        <v>133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3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30" customWidth="1"/>
    <col min="3" max="3" width="14" customWidth="1"/>
    <col min="4" max="4" width="16" customWidth="1"/>
    <col min="5" max="5" width="62" customWidth="1"/>
    <col min="6" max="6" width="40" customWidth="1"/>
  </cols>
  <sheetData>
    <row r="1" spans="1:6" ht="16.8" x14ac:dyDescent="0.3">
      <c r="A1" s="8" t="s">
        <v>134</v>
      </c>
    </row>
    <row r="2" spans="1:6" x14ac:dyDescent="0.3">
      <c r="A2" s="9" t="s">
        <v>135</v>
      </c>
    </row>
    <row r="4" spans="1:6" ht="26.4" x14ac:dyDescent="0.3">
      <c r="A4" s="4" t="s">
        <v>136</v>
      </c>
      <c r="B4" s="4" t="s">
        <v>137</v>
      </c>
      <c r="C4" s="4" t="s">
        <v>138</v>
      </c>
      <c r="D4" s="4" t="s">
        <v>139</v>
      </c>
      <c r="E4" s="4" t="s">
        <v>140</v>
      </c>
      <c r="F4" s="4" t="s">
        <v>141</v>
      </c>
    </row>
    <row r="5" spans="1:6" x14ac:dyDescent="0.3">
      <c r="A5" s="5" t="s">
        <v>142</v>
      </c>
      <c r="B5" s="13">
        <v>38</v>
      </c>
      <c r="C5" s="17">
        <v>1.5299999999999999E-2</v>
      </c>
      <c r="D5" s="13"/>
      <c r="E5" s="5" t="s">
        <v>143</v>
      </c>
      <c r="F5" s="5"/>
    </row>
    <row r="6" spans="1:6" x14ac:dyDescent="0.3">
      <c r="A6" s="5" t="s">
        <v>31</v>
      </c>
      <c r="B6" s="13">
        <v>188.6</v>
      </c>
      <c r="C6" s="17">
        <v>0.05</v>
      </c>
      <c r="D6" s="13"/>
      <c r="E6" s="5" t="s">
        <v>144</v>
      </c>
      <c r="F6" s="5"/>
    </row>
    <row r="7" spans="1:6" x14ac:dyDescent="0.3">
      <c r="A7" s="5" t="s">
        <v>32</v>
      </c>
      <c r="B7" s="14"/>
      <c r="C7" s="18"/>
      <c r="D7" s="13"/>
      <c r="E7" s="5"/>
      <c r="F7" s="5" t="s">
        <v>145</v>
      </c>
    </row>
    <row r="8" spans="1:6" x14ac:dyDescent="0.3">
      <c r="A8" s="5" t="s">
        <v>33</v>
      </c>
      <c r="B8" s="13">
        <v>302.3</v>
      </c>
      <c r="C8" s="17">
        <v>8.1699999999999995E-2</v>
      </c>
      <c r="D8" s="13"/>
      <c r="E8" s="5" t="s">
        <v>146</v>
      </c>
      <c r="F8" s="5" t="s">
        <v>147</v>
      </c>
    </row>
    <row r="9" spans="1:6" x14ac:dyDescent="0.3">
      <c r="A9" s="5" t="s">
        <v>34</v>
      </c>
      <c r="B9" s="13">
        <v>433.6</v>
      </c>
      <c r="C9" s="17">
        <v>0.1</v>
      </c>
      <c r="D9" s="13"/>
      <c r="E9" s="5" t="s">
        <v>148</v>
      </c>
      <c r="F9" s="5"/>
    </row>
    <row r="10" spans="1:6" x14ac:dyDescent="0.3">
      <c r="A10" s="5" t="s">
        <v>35</v>
      </c>
      <c r="B10" s="13">
        <v>508.5</v>
      </c>
      <c r="C10" s="17">
        <v>0.1206</v>
      </c>
      <c r="D10" s="13"/>
      <c r="E10" s="5" t="s">
        <v>149</v>
      </c>
      <c r="F10" s="5" t="s">
        <v>150</v>
      </c>
    </row>
    <row r="11" spans="1:6" x14ac:dyDescent="0.3">
      <c r="A11" s="5" t="s">
        <v>36</v>
      </c>
      <c r="B11" s="13">
        <v>707.4</v>
      </c>
      <c r="C11" s="17">
        <v>0.14599999999999999</v>
      </c>
      <c r="D11" s="13">
        <v>672.49</v>
      </c>
      <c r="E11" s="5" t="s">
        <v>151</v>
      </c>
      <c r="F11" s="5" t="s">
        <v>152</v>
      </c>
    </row>
    <row r="12" spans="1:6" x14ac:dyDescent="0.3">
      <c r="A12" s="5" t="s">
        <v>37</v>
      </c>
      <c r="B12" s="13">
        <v>1022.4</v>
      </c>
      <c r="C12" s="17">
        <v>0.192</v>
      </c>
      <c r="D12" s="13">
        <v>1039</v>
      </c>
      <c r="E12" s="5" t="s">
        <v>153</v>
      </c>
      <c r="F12" s="5" t="s">
        <v>154</v>
      </c>
    </row>
    <row r="14" spans="1:6" x14ac:dyDescent="0.3">
      <c r="A14" s="4" t="s">
        <v>136</v>
      </c>
      <c r="B14" s="4" t="s">
        <v>155</v>
      </c>
      <c r="C14" s="4" t="s">
        <v>156</v>
      </c>
      <c r="D14" s="4" t="s">
        <v>157</v>
      </c>
      <c r="E14" s="4" t="s">
        <v>140</v>
      </c>
    </row>
    <row r="15" spans="1:6" x14ac:dyDescent="0.3">
      <c r="A15" s="5" t="s">
        <v>36</v>
      </c>
      <c r="B15" s="5" t="s">
        <v>158</v>
      </c>
      <c r="C15" s="5">
        <v>672.49</v>
      </c>
      <c r="D15" s="5" t="s">
        <v>159</v>
      </c>
      <c r="E15" s="5" t="s">
        <v>160</v>
      </c>
    </row>
    <row r="16" spans="1:6" x14ac:dyDescent="0.3">
      <c r="A16" s="5" t="s">
        <v>36</v>
      </c>
      <c r="B16" s="5" t="s">
        <v>161</v>
      </c>
      <c r="C16" s="5">
        <v>402.22</v>
      </c>
      <c r="D16" s="5" t="s">
        <v>159</v>
      </c>
      <c r="E16" s="5" t="s">
        <v>160</v>
      </c>
    </row>
    <row r="17" spans="1:5" x14ac:dyDescent="0.3">
      <c r="A17" s="5" t="s">
        <v>36</v>
      </c>
      <c r="B17" s="5" t="s">
        <v>162</v>
      </c>
      <c r="C17" s="5">
        <v>286.47000000000003</v>
      </c>
      <c r="D17" s="5" t="s">
        <v>159</v>
      </c>
      <c r="E17" s="5" t="s">
        <v>160</v>
      </c>
    </row>
    <row r="18" spans="1:5" x14ac:dyDescent="0.3">
      <c r="A18" s="5" t="s">
        <v>36</v>
      </c>
      <c r="B18" s="5" t="s">
        <v>163</v>
      </c>
      <c r="C18" s="5">
        <v>115.62</v>
      </c>
      <c r="D18" s="5" t="s">
        <v>159</v>
      </c>
      <c r="E18" s="5" t="s">
        <v>160</v>
      </c>
    </row>
    <row r="19" spans="1:5" x14ac:dyDescent="0.3">
      <c r="A19" s="5" t="s">
        <v>36</v>
      </c>
      <c r="B19" s="5" t="s">
        <v>164</v>
      </c>
      <c r="C19" s="5">
        <v>270.27</v>
      </c>
      <c r="D19" s="5" t="s">
        <v>159</v>
      </c>
      <c r="E19" s="5" t="s">
        <v>160</v>
      </c>
    </row>
    <row r="20" spans="1:5" x14ac:dyDescent="0.3">
      <c r="A20" s="5" t="s">
        <v>36</v>
      </c>
      <c r="B20" s="5" t="s">
        <v>165</v>
      </c>
      <c r="C20" s="5">
        <v>42.74</v>
      </c>
      <c r="D20" s="5" t="s">
        <v>166</v>
      </c>
      <c r="E20" s="5" t="s">
        <v>167</v>
      </c>
    </row>
    <row r="21" spans="1:5" x14ac:dyDescent="0.3">
      <c r="A21" s="5" t="s">
        <v>37</v>
      </c>
      <c r="B21" s="5" t="s">
        <v>158</v>
      </c>
      <c r="C21" s="5">
        <v>1039</v>
      </c>
      <c r="D21" s="5" t="s">
        <v>159</v>
      </c>
      <c r="E21" s="5" t="s">
        <v>168</v>
      </c>
    </row>
    <row r="22" spans="1:5" x14ac:dyDescent="0.3">
      <c r="A22" s="5" t="s">
        <v>37</v>
      </c>
      <c r="B22" s="5" t="s">
        <v>161</v>
      </c>
      <c r="C22" s="5">
        <v>718</v>
      </c>
      <c r="D22" s="5" t="s">
        <v>159</v>
      </c>
      <c r="E22" s="5" t="s">
        <v>168</v>
      </c>
    </row>
    <row r="23" spans="1:5" x14ac:dyDescent="0.3">
      <c r="A23" s="5" t="s">
        <v>37</v>
      </c>
      <c r="B23" s="5" t="s">
        <v>164</v>
      </c>
      <c r="C23" s="5">
        <v>321</v>
      </c>
      <c r="D23" s="5" t="s">
        <v>159</v>
      </c>
      <c r="E23" s="5" t="s">
        <v>168</v>
      </c>
    </row>
    <row r="24" spans="1:5" x14ac:dyDescent="0.3">
      <c r="A24" s="5" t="s">
        <v>37</v>
      </c>
      <c r="B24" s="5" t="s">
        <v>165</v>
      </c>
      <c r="C24" s="5" t="s">
        <v>169</v>
      </c>
      <c r="D24" s="5" t="s">
        <v>166</v>
      </c>
      <c r="E24" s="5" t="s">
        <v>168</v>
      </c>
    </row>
    <row r="25" spans="1:5" x14ac:dyDescent="0.3">
      <c r="A25" s="5" t="s">
        <v>34</v>
      </c>
      <c r="B25" s="5" t="s">
        <v>165</v>
      </c>
      <c r="C25" s="5">
        <v>0</v>
      </c>
      <c r="D25" s="5" t="s">
        <v>166</v>
      </c>
      <c r="E25" s="5" t="s">
        <v>170</v>
      </c>
    </row>
    <row r="26" spans="1:5" x14ac:dyDescent="0.3">
      <c r="A26" s="5" t="s">
        <v>38</v>
      </c>
      <c r="B26" s="5" t="s">
        <v>165</v>
      </c>
      <c r="C26" s="5" t="s">
        <v>171</v>
      </c>
      <c r="D26" s="5" t="s">
        <v>166</v>
      </c>
      <c r="E26" s="5" t="s">
        <v>170</v>
      </c>
    </row>
    <row r="27" spans="1:5" x14ac:dyDescent="0.3">
      <c r="A27" s="5" t="s">
        <v>36</v>
      </c>
      <c r="B27" s="5" t="s">
        <v>172</v>
      </c>
      <c r="C27" s="5">
        <v>1.7</v>
      </c>
      <c r="D27" s="5" t="s">
        <v>173</v>
      </c>
      <c r="E27" s="5" t="s">
        <v>174</v>
      </c>
    </row>
    <row r="28" spans="1:5" x14ac:dyDescent="0.3">
      <c r="B28" s="10" t="s">
        <v>175</v>
      </c>
      <c r="C28" s="19">
        <f>C16/C15</f>
        <v>0.59810554803788907</v>
      </c>
    </row>
    <row r="29" spans="1:5" x14ac:dyDescent="0.3">
      <c r="B29" s="10" t="s">
        <v>176</v>
      </c>
      <c r="C29" s="19">
        <f>C22/C21</f>
        <v>0.6910490856592878</v>
      </c>
    </row>
    <row r="30" spans="1:5" x14ac:dyDescent="0.3">
      <c r="B30" s="10" t="s">
        <v>177</v>
      </c>
      <c r="C30" s="19">
        <f>C17/C15</f>
        <v>0.42598402950229747</v>
      </c>
    </row>
    <row r="32" spans="1:5" x14ac:dyDescent="0.3">
      <c r="A32" s="4" t="s">
        <v>5</v>
      </c>
      <c r="B32" s="4" t="s">
        <v>155</v>
      </c>
      <c r="C32" s="4" t="s">
        <v>178</v>
      </c>
      <c r="D32" s="4" t="s">
        <v>157</v>
      </c>
      <c r="E32" s="4" t="s">
        <v>140</v>
      </c>
    </row>
    <row r="33" spans="1:5" x14ac:dyDescent="0.3">
      <c r="A33" s="5" t="s">
        <v>36</v>
      </c>
      <c r="B33" s="5" t="s">
        <v>179</v>
      </c>
      <c r="C33" s="20">
        <v>56.58</v>
      </c>
      <c r="D33" s="5" t="s">
        <v>180</v>
      </c>
      <c r="E33" s="5" t="s">
        <v>181</v>
      </c>
    </row>
    <row r="34" spans="1:5" x14ac:dyDescent="0.3">
      <c r="A34" s="5" t="s">
        <v>37</v>
      </c>
      <c r="B34" s="5" t="s">
        <v>179</v>
      </c>
      <c r="C34" s="20">
        <v>57.97</v>
      </c>
      <c r="D34" s="5" t="s">
        <v>180</v>
      </c>
      <c r="E34" s="5" t="s">
        <v>181</v>
      </c>
    </row>
    <row r="35" spans="1:5" x14ac:dyDescent="0.3">
      <c r="A35" s="5" t="s">
        <v>37</v>
      </c>
      <c r="B35" s="5" t="s">
        <v>182</v>
      </c>
      <c r="C35" s="20">
        <v>60.73</v>
      </c>
      <c r="D35" s="5" t="s">
        <v>180</v>
      </c>
      <c r="E35" s="5" t="s">
        <v>181</v>
      </c>
    </row>
    <row r="36" spans="1:5" x14ac:dyDescent="0.3">
      <c r="A36" s="5" t="s">
        <v>37</v>
      </c>
      <c r="B36" s="5" t="s">
        <v>183</v>
      </c>
      <c r="C36" s="20">
        <v>65.61</v>
      </c>
      <c r="D36" s="5" t="s">
        <v>180</v>
      </c>
      <c r="E36" s="5" t="s">
        <v>181</v>
      </c>
    </row>
    <row r="37" spans="1:5" x14ac:dyDescent="0.3">
      <c r="A37" s="5" t="s">
        <v>35</v>
      </c>
      <c r="B37" s="5" t="s">
        <v>184</v>
      </c>
      <c r="C37" s="20">
        <v>66.069999999999993</v>
      </c>
      <c r="D37" s="5" t="s">
        <v>180</v>
      </c>
      <c r="E37" s="5" t="s">
        <v>185</v>
      </c>
    </row>
    <row r="38" spans="1:5" x14ac:dyDescent="0.3">
      <c r="A38" s="5" t="s">
        <v>36</v>
      </c>
      <c r="B38" s="5" t="s">
        <v>27</v>
      </c>
      <c r="C38" s="20">
        <v>71.86</v>
      </c>
      <c r="D38" s="5" t="s">
        <v>180</v>
      </c>
      <c r="E38" s="5" t="s">
        <v>185</v>
      </c>
    </row>
    <row r="39" spans="1:5" x14ac:dyDescent="0.3">
      <c r="A39" s="5" t="s">
        <v>63</v>
      </c>
      <c r="B39" s="5" t="s">
        <v>186</v>
      </c>
      <c r="C39" s="20">
        <v>2250</v>
      </c>
      <c r="D39" s="5" t="s">
        <v>187</v>
      </c>
      <c r="E39" s="5" t="s">
        <v>188</v>
      </c>
    </row>
    <row r="40" spans="1:5" x14ac:dyDescent="0.3">
      <c r="A40" s="5" t="s">
        <v>189</v>
      </c>
      <c r="B40" s="5" t="s">
        <v>186</v>
      </c>
      <c r="C40" s="20">
        <v>2000</v>
      </c>
      <c r="D40" s="5" t="s">
        <v>187</v>
      </c>
      <c r="E40" s="5" t="s">
        <v>188</v>
      </c>
    </row>
    <row r="41" spans="1:5" x14ac:dyDescent="0.3">
      <c r="A41" s="5" t="s">
        <v>190</v>
      </c>
      <c r="B41" s="5" t="s">
        <v>191</v>
      </c>
      <c r="C41" s="20">
        <v>2800</v>
      </c>
      <c r="D41" s="5" t="s">
        <v>187</v>
      </c>
      <c r="E41" s="5" t="s">
        <v>192</v>
      </c>
    </row>
    <row r="42" spans="1:5" x14ac:dyDescent="0.3">
      <c r="A42" s="5" t="s">
        <v>193</v>
      </c>
      <c r="B42" s="5" t="s">
        <v>191</v>
      </c>
      <c r="C42" s="20">
        <v>2250</v>
      </c>
      <c r="D42" s="5" t="s">
        <v>187</v>
      </c>
      <c r="E42" s="5" t="s">
        <v>192</v>
      </c>
    </row>
    <row r="44" spans="1:5" x14ac:dyDescent="0.3">
      <c r="A44" s="4" t="s">
        <v>194</v>
      </c>
      <c r="B44" s="4" t="s">
        <v>5</v>
      </c>
      <c r="C44" s="4" t="s">
        <v>156</v>
      </c>
      <c r="D44" s="4" t="s">
        <v>157</v>
      </c>
      <c r="E44" s="4" t="s">
        <v>140</v>
      </c>
    </row>
    <row r="45" spans="1:5" x14ac:dyDescent="0.3">
      <c r="A45" s="5" t="s">
        <v>195</v>
      </c>
      <c r="B45" s="5" t="s">
        <v>196</v>
      </c>
      <c r="C45" s="15">
        <v>5500</v>
      </c>
      <c r="D45" s="5" t="s">
        <v>197</v>
      </c>
      <c r="E45" s="5" t="s">
        <v>143</v>
      </c>
    </row>
    <row r="46" spans="1:5" x14ac:dyDescent="0.3">
      <c r="A46" s="5" t="s">
        <v>195</v>
      </c>
      <c r="B46" s="5" t="s">
        <v>198</v>
      </c>
      <c r="C46" s="15">
        <v>3500</v>
      </c>
      <c r="D46" s="5" t="s">
        <v>197</v>
      </c>
      <c r="E46" s="5" t="s">
        <v>143</v>
      </c>
    </row>
    <row r="47" spans="1:5" x14ac:dyDescent="0.3">
      <c r="A47" s="5" t="s">
        <v>195</v>
      </c>
      <c r="B47" s="5" t="s">
        <v>199</v>
      </c>
      <c r="C47" s="15">
        <v>10100</v>
      </c>
      <c r="D47" s="5" t="s">
        <v>197</v>
      </c>
      <c r="E47" s="5" t="s">
        <v>143</v>
      </c>
    </row>
    <row r="48" spans="1:5" x14ac:dyDescent="0.3">
      <c r="A48" s="5" t="s">
        <v>195</v>
      </c>
      <c r="B48" s="5" t="s">
        <v>200</v>
      </c>
      <c r="C48" s="15">
        <v>22500</v>
      </c>
      <c r="D48" s="5" t="s">
        <v>197</v>
      </c>
      <c r="E48" s="5" t="s">
        <v>143</v>
      </c>
    </row>
    <row r="49" spans="1:5" x14ac:dyDescent="0.3">
      <c r="A49" s="5" t="s">
        <v>195</v>
      </c>
      <c r="B49" s="5" t="s">
        <v>201</v>
      </c>
      <c r="C49" s="15">
        <v>24300</v>
      </c>
      <c r="D49" s="5" t="s">
        <v>197</v>
      </c>
      <c r="E49" s="5" t="s">
        <v>143</v>
      </c>
    </row>
    <row r="50" spans="1:5" x14ac:dyDescent="0.3">
      <c r="A50" s="5" t="s">
        <v>202</v>
      </c>
      <c r="B50" s="5" t="s">
        <v>203</v>
      </c>
      <c r="C50" s="5" t="s">
        <v>204</v>
      </c>
      <c r="D50" s="5" t="s">
        <v>205</v>
      </c>
      <c r="E50" s="5" t="s">
        <v>188</v>
      </c>
    </row>
    <row r="51" spans="1:5" x14ac:dyDescent="0.3">
      <c r="A51" s="5" t="s">
        <v>206</v>
      </c>
      <c r="B51" s="5" t="s">
        <v>207</v>
      </c>
      <c r="C51" s="15">
        <v>23</v>
      </c>
      <c r="D51" s="5" t="s">
        <v>205</v>
      </c>
      <c r="E51" s="5" t="s">
        <v>208</v>
      </c>
    </row>
    <row r="52" spans="1:5" x14ac:dyDescent="0.3">
      <c r="A52" s="5" t="s">
        <v>206</v>
      </c>
      <c r="B52" s="5" t="s">
        <v>209</v>
      </c>
      <c r="C52" s="15">
        <v>24</v>
      </c>
      <c r="D52" s="5" t="s">
        <v>205</v>
      </c>
      <c r="E52" s="5" t="s">
        <v>192</v>
      </c>
    </row>
    <row r="53" spans="1:5" x14ac:dyDescent="0.3">
      <c r="A53" s="5" t="s">
        <v>210</v>
      </c>
      <c r="B53" s="5" t="s">
        <v>211</v>
      </c>
      <c r="C53" s="15">
        <v>155</v>
      </c>
      <c r="D53" s="5" t="s">
        <v>212</v>
      </c>
      <c r="E53" s="5" t="s">
        <v>213</v>
      </c>
    </row>
    <row r="54" spans="1:5" x14ac:dyDescent="0.3">
      <c r="A54" s="5" t="s">
        <v>214</v>
      </c>
      <c r="B54" s="5" t="s">
        <v>211</v>
      </c>
      <c r="C54" s="15">
        <v>505</v>
      </c>
      <c r="D54" s="5" t="s">
        <v>215</v>
      </c>
      <c r="E54" s="5" t="s">
        <v>213</v>
      </c>
    </row>
    <row r="55" spans="1:5" x14ac:dyDescent="0.3">
      <c r="A55" s="5" t="s">
        <v>216</v>
      </c>
      <c r="B55" s="5" t="s">
        <v>38</v>
      </c>
      <c r="C55" s="15">
        <v>1016</v>
      </c>
      <c r="D55" s="5" t="s">
        <v>159</v>
      </c>
      <c r="E55" s="5" t="s">
        <v>217</v>
      </c>
    </row>
    <row r="56" spans="1:5" x14ac:dyDescent="0.3">
      <c r="A56" s="5" t="s">
        <v>218</v>
      </c>
      <c r="B56" s="5" t="s">
        <v>38</v>
      </c>
      <c r="C56" s="5" t="s">
        <v>219</v>
      </c>
      <c r="D56" s="5" t="s">
        <v>159</v>
      </c>
      <c r="E56" s="5" t="s">
        <v>217</v>
      </c>
    </row>
    <row r="57" spans="1:5" x14ac:dyDescent="0.3">
      <c r="A57" s="5" t="s">
        <v>220</v>
      </c>
      <c r="B57" s="5" t="s">
        <v>221</v>
      </c>
      <c r="C57" s="15">
        <v>2860</v>
      </c>
      <c r="D57" s="5" t="s">
        <v>222</v>
      </c>
      <c r="E57" s="5" t="s">
        <v>223</v>
      </c>
    </row>
    <row r="58" spans="1:5" x14ac:dyDescent="0.3">
      <c r="A58" s="5" t="s">
        <v>224</v>
      </c>
      <c r="B58" s="5" t="s">
        <v>221</v>
      </c>
      <c r="C58" s="5" t="s">
        <v>225</v>
      </c>
      <c r="D58" s="5" t="s">
        <v>222</v>
      </c>
      <c r="E58" s="5" t="s">
        <v>226</v>
      </c>
    </row>
    <row r="59" spans="1:5" x14ac:dyDescent="0.3">
      <c r="A59" s="5" t="s">
        <v>227</v>
      </c>
      <c r="B59" s="5" t="s">
        <v>221</v>
      </c>
      <c r="C59" s="5" t="s">
        <v>228</v>
      </c>
      <c r="D59" s="5" t="s">
        <v>229</v>
      </c>
      <c r="E59" s="5" t="s">
        <v>230</v>
      </c>
    </row>
    <row r="60" spans="1:5" x14ac:dyDescent="0.3">
      <c r="A60" s="5" t="s">
        <v>231</v>
      </c>
      <c r="B60" s="5" t="s">
        <v>221</v>
      </c>
      <c r="C60" s="5" t="s">
        <v>232</v>
      </c>
      <c r="D60" s="5" t="s">
        <v>233</v>
      </c>
      <c r="E60" s="5" t="s">
        <v>234</v>
      </c>
    </row>
    <row r="61" spans="1:5" x14ac:dyDescent="0.3">
      <c r="A61" s="5" t="s">
        <v>235</v>
      </c>
      <c r="B61" s="5" t="s">
        <v>81</v>
      </c>
      <c r="C61" s="5" t="s">
        <v>236</v>
      </c>
      <c r="D61" s="5" t="s">
        <v>237</v>
      </c>
      <c r="E61" s="5" t="s">
        <v>238</v>
      </c>
    </row>
    <row r="63" spans="1:5" x14ac:dyDescent="0.3">
      <c r="A63" s="7" t="s">
        <v>239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1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3" width="40" customWidth="1"/>
    <col min="4" max="4" width="24" customWidth="1"/>
    <col min="5" max="5" width="18" customWidth="1"/>
    <col min="6" max="6" width="60" customWidth="1"/>
    <col min="7" max="7" width="30" customWidth="1"/>
  </cols>
  <sheetData>
    <row r="1" spans="1:7" ht="16.8" x14ac:dyDescent="0.3">
      <c r="A1" s="8" t="s">
        <v>240</v>
      </c>
    </row>
    <row r="2" spans="1:7" x14ac:dyDescent="0.3">
      <c r="A2" s="9" t="s">
        <v>241</v>
      </c>
    </row>
    <row r="4" spans="1:7" x14ac:dyDescent="0.3">
      <c r="A4" s="4" t="s">
        <v>242</v>
      </c>
      <c r="B4" s="4" t="s">
        <v>243</v>
      </c>
      <c r="C4" s="4" t="s">
        <v>244</v>
      </c>
      <c r="D4" s="4" t="s">
        <v>245</v>
      </c>
      <c r="E4" s="4" t="s">
        <v>246</v>
      </c>
      <c r="F4" s="4" t="s">
        <v>247</v>
      </c>
      <c r="G4" s="4" t="s">
        <v>141</v>
      </c>
    </row>
    <row r="5" spans="1:7" ht="26.4" x14ac:dyDescent="0.3">
      <c r="A5" s="21" t="s">
        <v>248</v>
      </c>
      <c r="B5" s="21" t="s">
        <v>249</v>
      </c>
      <c r="C5" s="21" t="s">
        <v>250</v>
      </c>
      <c r="D5" s="21" t="s">
        <v>251</v>
      </c>
      <c r="E5" s="21" t="s">
        <v>252</v>
      </c>
      <c r="F5" s="21" t="s">
        <v>253</v>
      </c>
      <c r="G5" s="21" t="s">
        <v>254</v>
      </c>
    </row>
    <row r="6" spans="1:7" ht="26.4" x14ac:dyDescent="0.3">
      <c r="A6" s="21" t="s">
        <v>248</v>
      </c>
      <c r="B6" s="21" t="s">
        <v>255</v>
      </c>
      <c r="C6" s="21" t="s">
        <v>256</v>
      </c>
      <c r="D6" s="21" t="s">
        <v>257</v>
      </c>
      <c r="E6" s="21" t="s">
        <v>258</v>
      </c>
      <c r="F6" s="21" t="s">
        <v>259</v>
      </c>
      <c r="G6" s="21" t="s">
        <v>260</v>
      </c>
    </row>
    <row r="7" spans="1:7" x14ac:dyDescent="0.3">
      <c r="A7" s="21" t="s">
        <v>248</v>
      </c>
      <c r="B7" s="21" t="s">
        <v>261</v>
      </c>
      <c r="C7" s="21" t="s">
        <v>262</v>
      </c>
      <c r="D7" s="21" t="s">
        <v>263</v>
      </c>
      <c r="E7" s="21" t="s">
        <v>258</v>
      </c>
      <c r="F7" s="21" t="s">
        <v>264</v>
      </c>
      <c r="G7" s="21" t="s">
        <v>265</v>
      </c>
    </row>
    <row r="8" spans="1:7" ht="26.4" x14ac:dyDescent="0.3">
      <c r="A8" s="21" t="s">
        <v>248</v>
      </c>
      <c r="B8" s="21" t="s">
        <v>266</v>
      </c>
      <c r="C8" s="21" t="s">
        <v>267</v>
      </c>
      <c r="D8" s="21" t="s">
        <v>268</v>
      </c>
      <c r="E8" s="21" t="s">
        <v>258</v>
      </c>
      <c r="F8" s="21" t="s">
        <v>269</v>
      </c>
      <c r="G8" s="21" t="s">
        <v>270</v>
      </c>
    </row>
    <row r="9" spans="1:7" x14ac:dyDescent="0.3">
      <c r="A9" s="21" t="s">
        <v>271</v>
      </c>
      <c r="B9" s="21" t="s">
        <v>272</v>
      </c>
      <c r="C9" s="21" t="s">
        <v>273</v>
      </c>
      <c r="D9" s="21" t="s">
        <v>274</v>
      </c>
      <c r="E9" s="21" t="s">
        <v>258</v>
      </c>
      <c r="F9" s="21" t="s">
        <v>275</v>
      </c>
      <c r="G9" s="21" t="s">
        <v>276</v>
      </c>
    </row>
    <row r="10" spans="1:7" ht="26.4" x14ac:dyDescent="0.3">
      <c r="A10" s="21" t="s">
        <v>271</v>
      </c>
      <c r="B10" s="21" t="s">
        <v>277</v>
      </c>
      <c r="C10" s="21" t="s">
        <v>278</v>
      </c>
      <c r="D10" s="21" t="s">
        <v>274</v>
      </c>
      <c r="E10" s="21" t="s">
        <v>258</v>
      </c>
      <c r="F10" s="21" t="s">
        <v>279</v>
      </c>
      <c r="G10" s="21" t="s">
        <v>280</v>
      </c>
    </row>
    <row r="11" spans="1:7" x14ac:dyDescent="0.3">
      <c r="A11" s="21" t="s">
        <v>271</v>
      </c>
      <c r="B11" s="21" t="s">
        <v>281</v>
      </c>
      <c r="C11" s="21" t="s">
        <v>282</v>
      </c>
      <c r="D11" s="21" t="s">
        <v>274</v>
      </c>
      <c r="E11" s="21" t="s">
        <v>258</v>
      </c>
      <c r="F11" s="21" t="s">
        <v>283</v>
      </c>
      <c r="G11" s="21"/>
    </row>
    <row r="12" spans="1:7" x14ac:dyDescent="0.3">
      <c r="A12" s="21" t="s">
        <v>47</v>
      </c>
      <c r="B12" s="21" t="s">
        <v>284</v>
      </c>
      <c r="C12" s="21" t="s">
        <v>285</v>
      </c>
      <c r="D12" s="21" t="s">
        <v>286</v>
      </c>
      <c r="E12" s="21" t="s">
        <v>252</v>
      </c>
      <c r="F12" s="21" t="s">
        <v>287</v>
      </c>
      <c r="G12" s="21"/>
    </row>
    <row r="13" spans="1:7" ht="26.4" x14ac:dyDescent="0.3">
      <c r="A13" s="21" t="s">
        <v>47</v>
      </c>
      <c r="B13" s="21" t="s">
        <v>288</v>
      </c>
      <c r="C13" s="21" t="s">
        <v>289</v>
      </c>
      <c r="D13" s="21" t="s">
        <v>290</v>
      </c>
      <c r="E13" s="21" t="s">
        <v>258</v>
      </c>
      <c r="F13" s="21" t="s">
        <v>291</v>
      </c>
      <c r="G13" s="21" t="s">
        <v>292</v>
      </c>
    </row>
    <row r="14" spans="1:7" x14ac:dyDescent="0.3">
      <c r="A14" s="21" t="s">
        <v>47</v>
      </c>
      <c r="B14" s="21" t="s">
        <v>293</v>
      </c>
      <c r="C14" s="21" t="s">
        <v>294</v>
      </c>
      <c r="D14" s="21" t="s">
        <v>286</v>
      </c>
      <c r="E14" s="21" t="s">
        <v>258</v>
      </c>
      <c r="F14" s="21" t="s">
        <v>295</v>
      </c>
      <c r="G14" s="21"/>
    </row>
    <row r="15" spans="1:7" x14ac:dyDescent="0.3">
      <c r="A15" s="21" t="s">
        <v>47</v>
      </c>
      <c r="B15" s="21" t="s">
        <v>296</v>
      </c>
      <c r="C15" s="21" t="s">
        <v>297</v>
      </c>
      <c r="D15" s="21" t="s">
        <v>286</v>
      </c>
      <c r="E15" s="21" t="s">
        <v>258</v>
      </c>
      <c r="F15" s="21" t="s">
        <v>298</v>
      </c>
      <c r="G15" s="21" t="s">
        <v>299</v>
      </c>
    </row>
    <row r="16" spans="1:7" ht="39.6" x14ac:dyDescent="0.3">
      <c r="A16" s="21" t="s">
        <v>300</v>
      </c>
      <c r="B16" s="21" t="s">
        <v>301</v>
      </c>
      <c r="C16" s="21" t="s">
        <v>302</v>
      </c>
      <c r="D16" s="21" t="s">
        <v>303</v>
      </c>
      <c r="E16" s="21" t="s">
        <v>258</v>
      </c>
      <c r="F16" s="21" t="s">
        <v>304</v>
      </c>
      <c r="G16" s="21" t="s">
        <v>305</v>
      </c>
    </row>
    <row r="17" spans="1:7" x14ac:dyDescent="0.3">
      <c r="A17" s="21" t="s">
        <v>42</v>
      </c>
      <c r="B17" s="21" t="s">
        <v>306</v>
      </c>
      <c r="C17" s="21" t="s">
        <v>307</v>
      </c>
      <c r="D17" s="21" t="s">
        <v>286</v>
      </c>
      <c r="E17" s="21" t="s">
        <v>252</v>
      </c>
      <c r="F17" s="21" t="s">
        <v>308</v>
      </c>
      <c r="G17" s="21"/>
    </row>
    <row r="18" spans="1:7" x14ac:dyDescent="0.3">
      <c r="A18" s="21" t="s">
        <v>42</v>
      </c>
      <c r="B18" s="21" t="s">
        <v>309</v>
      </c>
      <c r="C18" s="21" t="s">
        <v>310</v>
      </c>
      <c r="D18" s="21" t="s">
        <v>286</v>
      </c>
      <c r="E18" s="21" t="s">
        <v>252</v>
      </c>
      <c r="F18" s="21" t="s">
        <v>311</v>
      </c>
      <c r="G18" s="21"/>
    </row>
    <row r="19" spans="1:7" x14ac:dyDescent="0.3">
      <c r="A19" s="21" t="s">
        <v>312</v>
      </c>
      <c r="B19" s="21" t="s">
        <v>284</v>
      </c>
      <c r="C19" s="21" t="s">
        <v>313</v>
      </c>
      <c r="D19" s="21" t="s">
        <v>286</v>
      </c>
      <c r="E19" s="21" t="s">
        <v>252</v>
      </c>
      <c r="F19" s="21" t="s">
        <v>314</v>
      </c>
      <c r="G19" s="21"/>
    </row>
    <row r="20" spans="1:7" ht="26.4" x14ac:dyDescent="0.3">
      <c r="A20" s="21" t="s">
        <v>315</v>
      </c>
      <c r="B20" s="21" t="s">
        <v>316</v>
      </c>
      <c r="C20" s="21" t="s">
        <v>317</v>
      </c>
      <c r="D20" s="21" t="s">
        <v>318</v>
      </c>
      <c r="E20" s="21" t="s">
        <v>258</v>
      </c>
      <c r="F20" s="21" t="s">
        <v>319</v>
      </c>
      <c r="G20" s="21"/>
    </row>
    <row r="21" spans="1:7" ht="26.4" x14ac:dyDescent="0.3">
      <c r="A21" s="21" t="s">
        <v>320</v>
      </c>
      <c r="B21" s="21" t="s">
        <v>321</v>
      </c>
      <c r="C21" s="21" t="s">
        <v>322</v>
      </c>
      <c r="D21" s="21" t="s">
        <v>323</v>
      </c>
      <c r="E21" s="21" t="s">
        <v>258</v>
      </c>
      <c r="F21" s="21" t="s">
        <v>324</v>
      </c>
      <c r="G21" s="21"/>
    </row>
    <row r="22" spans="1:7" ht="26.4" x14ac:dyDescent="0.3">
      <c r="A22" s="21" t="s">
        <v>320</v>
      </c>
      <c r="B22" s="21" t="s">
        <v>325</v>
      </c>
      <c r="C22" s="21" t="s">
        <v>326</v>
      </c>
      <c r="D22" s="21" t="s">
        <v>327</v>
      </c>
      <c r="E22" s="21" t="s">
        <v>252</v>
      </c>
      <c r="F22" s="21" t="s">
        <v>328</v>
      </c>
      <c r="G22" s="21" t="s">
        <v>329</v>
      </c>
    </row>
    <row r="23" spans="1:7" ht="26.4" x14ac:dyDescent="0.3">
      <c r="A23" s="21" t="s">
        <v>320</v>
      </c>
      <c r="B23" s="21" t="s">
        <v>330</v>
      </c>
      <c r="C23" s="21" t="s">
        <v>331</v>
      </c>
      <c r="D23" s="21" t="s">
        <v>332</v>
      </c>
      <c r="E23" s="21" t="s">
        <v>333</v>
      </c>
      <c r="F23" s="21" t="s">
        <v>334</v>
      </c>
      <c r="G23" s="21"/>
    </row>
    <row r="24" spans="1:7" x14ac:dyDescent="0.3">
      <c r="A24" s="21" t="s">
        <v>320</v>
      </c>
      <c r="B24" s="21" t="s">
        <v>335</v>
      </c>
      <c r="C24" s="21" t="s">
        <v>336</v>
      </c>
      <c r="D24" s="21" t="s">
        <v>332</v>
      </c>
      <c r="E24" s="21" t="s">
        <v>333</v>
      </c>
      <c r="F24" s="21" t="s">
        <v>337</v>
      </c>
      <c r="G24" s="21"/>
    </row>
    <row r="25" spans="1:7" ht="26.4" x14ac:dyDescent="0.3">
      <c r="A25" s="21" t="s">
        <v>320</v>
      </c>
      <c r="B25" s="21" t="s">
        <v>338</v>
      </c>
      <c r="C25" s="21" t="s">
        <v>339</v>
      </c>
      <c r="D25" s="21" t="s">
        <v>332</v>
      </c>
      <c r="E25" s="21" t="s">
        <v>333</v>
      </c>
      <c r="F25" s="21" t="s">
        <v>340</v>
      </c>
      <c r="G25" s="21"/>
    </row>
    <row r="26" spans="1:7" ht="26.4" x14ac:dyDescent="0.3">
      <c r="A26" s="21" t="s">
        <v>320</v>
      </c>
      <c r="B26" s="21" t="s">
        <v>341</v>
      </c>
      <c r="C26" s="21" t="s">
        <v>342</v>
      </c>
      <c r="D26" s="21" t="s">
        <v>332</v>
      </c>
      <c r="E26" s="21" t="s">
        <v>258</v>
      </c>
      <c r="F26" s="21" t="s">
        <v>343</v>
      </c>
      <c r="G26" s="21"/>
    </row>
    <row r="27" spans="1:7" ht="26.4" x14ac:dyDescent="0.3">
      <c r="A27" s="21" t="s">
        <v>320</v>
      </c>
      <c r="B27" s="21" t="s">
        <v>344</v>
      </c>
      <c r="C27" s="21" t="s">
        <v>345</v>
      </c>
      <c r="D27" s="21" t="s">
        <v>332</v>
      </c>
      <c r="E27" s="21" t="s">
        <v>333</v>
      </c>
      <c r="F27" s="21" t="s">
        <v>346</v>
      </c>
      <c r="G27" s="21"/>
    </row>
    <row r="28" spans="1:7" ht="26.4" x14ac:dyDescent="0.3">
      <c r="A28" s="21" t="s">
        <v>347</v>
      </c>
      <c r="B28" s="21" t="s">
        <v>348</v>
      </c>
      <c r="C28" s="21" t="s">
        <v>143</v>
      </c>
      <c r="D28" s="21" t="s">
        <v>349</v>
      </c>
      <c r="E28" s="21" t="s">
        <v>258</v>
      </c>
      <c r="F28" s="21" t="s">
        <v>350</v>
      </c>
      <c r="G28" s="21"/>
    </row>
    <row r="29" spans="1:7" x14ac:dyDescent="0.3">
      <c r="A29" s="21" t="s">
        <v>347</v>
      </c>
      <c r="B29" s="21" t="s">
        <v>351</v>
      </c>
      <c r="C29" s="21" t="s">
        <v>352</v>
      </c>
      <c r="D29" s="21" t="s">
        <v>349</v>
      </c>
      <c r="E29" s="21" t="s">
        <v>258</v>
      </c>
      <c r="F29" s="21" t="s">
        <v>353</v>
      </c>
      <c r="G29" s="21"/>
    </row>
    <row r="30" spans="1:7" ht="26.4" x14ac:dyDescent="0.3">
      <c r="A30" s="21" t="s">
        <v>347</v>
      </c>
      <c r="B30" s="21" t="s">
        <v>354</v>
      </c>
      <c r="C30" s="21" t="s">
        <v>355</v>
      </c>
      <c r="D30" s="21" t="s">
        <v>349</v>
      </c>
      <c r="E30" s="21" t="s">
        <v>333</v>
      </c>
      <c r="F30" s="21" t="s">
        <v>356</v>
      </c>
      <c r="G30" s="21"/>
    </row>
    <row r="31" spans="1:7" ht="26.4" x14ac:dyDescent="0.3">
      <c r="A31" s="21" t="s">
        <v>347</v>
      </c>
      <c r="B31" s="21" t="s">
        <v>357</v>
      </c>
      <c r="C31" s="21" t="s">
        <v>358</v>
      </c>
      <c r="D31" s="21" t="s">
        <v>359</v>
      </c>
      <c r="E31" s="21" t="s">
        <v>252</v>
      </c>
      <c r="F31" s="21" t="s">
        <v>360</v>
      </c>
      <c r="G31" s="21" t="s">
        <v>361</v>
      </c>
    </row>
    <row r="32" spans="1:7" ht="26.4" x14ac:dyDescent="0.3">
      <c r="A32" s="21" t="s">
        <v>347</v>
      </c>
      <c r="B32" s="21" t="s">
        <v>362</v>
      </c>
      <c r="C32" s="21" t="s">
        <v>363</v>
      </c>
      <c r="D32" s="21" t="s">
        <v>349</v>
      </c>
      <c r="E32" s="21" t="s">
        <v>333</v>
      </c>
      <c r="F32" s="21" t="s">
        <v>364</v>
      </c>
      <c r="G32" s="21"/>
    </row>
    <row r="33" spans="1:7" ht="26.4" x14ac:dyDescent="0.3">
      <c r="A33" s="21" t="s">
        <v>347</v>
      </c>
      <c r="B33" s="21" t="s">
        <v>365</v>
      </c>
      <c r="C33" s="21" t="s">
        <v>366</v>
      </c>
      <c r="D33" s="21" t="s">
        <v>367</v>
      </c>
      <c r="E33" s="21" t="s">
        <v>333</v>
      </c>
      <c r="F33" s="21" t="s">
        <v>368</v>
      </c>
      <c r="G33" s="21"/>
    </row>
    <row r="34" spans="1:7" ht="39.6" x14ac:dyDescent="0.3">
      <c r="A34" s="21" t="s">
        <v>347</v>
      </c>
      <c r="B34" s="21" t="s">
        <v>369</v>
      </c>
      <c r="C34" s="21" t="s">
        <v>370</v>
      </c>
      <c r="D34" s="21" t="s">
        <v>371</v>
      </c>
      <c r="E34" s="21" t="s">
        <v>372</v>
      </c>
      <c r="F34" s="21" t="s">
        <v>373</v>
      </c>
      <c r="G34" s="21" t="s">
        <v>374</v>
      </c>
    </row>
    <row r="35" spans="1:7" ht="26.4" x14ac:dyDescent="0.3">
      <c r="A35" s="21" t="s">
        <v>347</v>
      </c>
      <c r="B35" s="21" t="s">
        <v>375</v>
      </c>
      <c r="C35" s="21" t="s">
        <v>376</v>
      </c>
      <c r="D35" s="21" t="s">
        <v>377</v>
      </c>
      <c r="E35" s="21" t="s">
        <v>378</v>
      </c>
      <c r="F35" s="21" t="s">
        <v>379</v>
      </c>
      <c r="G35" s="21" t="s">
        <v>380</v>
      </c>
    </row>
    <row r="36" spans="1:7" ht="39.6" x14ac:dyDescent="0.3">
      <c r="A36" s="21" t="s">
        <v>347</v>
      </c>
      <c r="B36" s="21" t="s">
        <v>381</v>
      </c>
      <c r="C36" s="21" t="s">
        <v>382</v>
      </c>
      <c r="D36" s="21" t="s">
        <v>349</v>
      </c>
      <c r="E36" s="21" t="s">
        <v>333</v>
      </c>
      <c r="F36" s="21" t="s">
        <v>383</v>
      </c>
      <c r="G36" s="21"/>
    </row>
    <row r="37" spans="1:7" ht="26.4" x14ac:dyDescent="0.3">
      <c r="A37" s="21" t="s">
        <v>347</v>
      </c>
      <c r="B37" s="21" t="s">
        <v>384</v>
      </c>
      <c r="C37" s="21" t="s">
        <v>385</v>
      </c>
      <c r="D37" s="21" t="s">
        <v>371</v>
      </c>
      <c r="E37" s="21" t="s">
        <v>372</v>
      </c>
      <c r="F37" s="21" t="s">
        <v>386</v>
      </c>
      <c r="G37" s="21"/>
    </row>
    <row r="38" spans="1:7" ht="26.4" x14ac:dyDescent="0.3">
      <c r="A38" s="21" t="s">
        <v>347</v>
      </c>
      <c r="B38" s="21" t="s">
        <v>387</v>
      </c>
      <c r="C38" s="21" t="s">
        <v>388</v>
      </c>
      <c r="D38" s="21" t="s">
        <v>332</v>
      </c>
      <c r="E38" s="21" t="s">
        <v>333</v>
      </c>
      <c r="F38" s="21" t="s">
        <v>389</v>
      </c>
      <c r="G38" s="21" t="s">
        <v>390</v>
      </c>
    </row>
    <row r="39" spans="1:7" x14ac:dyDescent="0.3">
      <c r="A39" s="21" t="s">
        <v>347</v>
      </c>
      <c r="B39" s="21" t="s">
        <v>391</v>
      </c>
      <c r="C39" s="21" t="s">
        <v>185</v>
      </c>
      <c r="D39" s="21" t="s">
        <v>392</v>
      </c>
      <c r="E39" s="21" t="s">
        <v>258</v>
      </c>
      <c r="F39" s="21" t="s">
        <v>393</v>
      </c>
      <c r="G39" s="21"/>
    </row>
    <row r="40" spans="1:7" x14ac:dyDescent="0.3">
      <c r="A40" s="21" t="s">
        <v>347</v>
      </c>
      <c r="B40" s="21" t="s">
        <v>394</v>
      </c>
      <c r="C40" s="21" t="s">
        <v>395</v>
      </c>
      <c r="D40" s="21" t="s">
        <v>396</v>
      </c>
      <c r="E40" s="21" t="s">
        <v>372</v>
      </c>
      <c r="F40" s="21" t="s">
        <v>397</v>
      </c>
      <c r="G40" s="21"/>
    </row>
    <row r="41" spans="1:7" ht="39.6" x14ac:dyDescent="0.3">
      <c r="A41" s="21" t="s">
        <v>347</v>
      </c>
      <c r="B41" s="21" t="s">
        <v>398</v>
      </c>
      <c r="C41" s="21" t="s">
        <v>399</v>
      </c>
      <c r="D41" s="21" t="s">
        <v>392</v>
      </c>
      <c r="E41" s="21" t="s">
        <v>333</v>
      </c>
      <c r="F41" s="21" t="s">
        <v>400</v>
      </c>
      <c r="G41" s="21"/>
    </row>
    <row r="42" spans="1:7" ht="26.4" x14ac:dyDescent="0.3">
      <c r="A42" s="21" t="s">
        <v>347</v>
      </c>
      <c r="B42" s="21" t="s">
        <v>401</v>
      </c>
      <c r="C42" s="21" t="s">
        <v>402</v>
      </c>
      <c r="D42" s="21" t="s">
        <v>403</v>
      </c>
      <c r="E42" s="21" t="s">
        <v>333</v>
      </c>
      <c r="F42" s="21" t="s">
        <v>404</v>
      </c>
      <c r="G42" s="21"/>
    </row>
    <row r="43" spans="1:7" ht="26.4" x14ac:dyDescent="0.3">
      <c r="A43" s="21" t="s">
        <v>347</v>
      </c>
      <c r="B43" s="21" t="s">
        <v>405</v>
      </c>
      <c r="C43" s="21" t="s">
        <v>406</v>
      </c>
      <c r="D43" s="21" t="s">
        <v>392</v>
      </c>
      <c r="E43" s="21" t="s">
        <v>333</v>
      </c>
      <c r="F43" s="21" t="s">
        <v>407</v>
      </c>
      <c r="G43" s="21"/>
    </row>
    <row r="44" spans="1:7" x14ac:dyDescent="0.3">
      <c r="A44" s="21" t="s">
        <v>347</v>
      </c>
      <c r="B44" s="21" t="s">
        <v>408</v>
      </c>
      <c r="C44" s="21" t="s">
        <v>213</v>
      </c>
      <c r="D44" s="21" t="s">
        <v>392</v>
      </c>
      <c r="E44" s="21" t="s">
        <v>258</v>
      </c>
      <c r="F44" s="21" t="s">
        <v>409</v>
      </c>
      <c r="G44" s="21"/>
    </row>
    <row r="45" spans="1:7" ht="26.4" x14ac:dyDescent="0.3">
      <c r="A45" s="21" t="s">
        <v>347</v>
      </c>
      <c r="B45" s="21" t="s">
        <v>410</v>
      </c>
      <c r="C45" s="21" t="s">
        <v>411</v>
      </c>
      <c r="D45" s="21" t="s">
        <v>412</v>
      </c>
      <c r="E45" s="21" t="s">
        <v>258</v>
      </c>
      <c r="F45" s="21" t="s">
        <v>413</v>
      </c>
      <c r="G45" s="21"/>
    </row>
    <row r="46" spans="1:7" ht="26.4" x14ac:dyDescent="0.3">
      <c r="A46" s="21" t="s">
        <v>347</v>
      </c>
      <c r="B46" s="21" t="s">
        <v>414</v>
      </c>
      <c r="C46" s="21" t="s">
        <v>415</v>
      </c>
      <c r="D46" s="21" t="s">
        <v>371</v>
      </c>
      <c r="E46" s="21" t="s">
        <v>372</v>
      </c>
      <c r="F46" s="21" t="s">
        <v>416</v>
      </c>
      <c r="G46" s="21" t="s">
        <v>417</v>
      </c>
    </row>
    <row r="47" spans="1:7" ht="26.4" x14ac:dyDescent="0.3">
      <c r="A47" s="21" t="s">
        <v>347</v>
      </c>
      <c r="B47" s="21" t="s">
        <v>418</v>
      </c>
      <c r="C47" s="21" t="s">
        <v>419</v>
      </c>
      <c r="D47" s="21" t="s">
        <v>420</v>
      </c>
      <c r="E47" s="21" t="s">
        <v>420</v>
      </c>
      <c r="F47" s="21" t="s">
        <v>421</v>
      </c>
      <c r="G47" s="21"/>
    </row>
    <row r="48" spans="1:7" x14ac:dyDescent="0.3">
      <c r="A48" s="21" t="s">
        <v>347</v>
      </c>
      <c r="B48" s="21" t="s">
        <v>422</v>
      </c>
      <c r="C48" s="21" t="s">
        <v>423</v>
      </c>
      <c r="D48" s="21" t="s">
        <v>420</v>
      </c>
      <c r="E48" s="21" t="s">
        <v>420</v>
      </c>
      <c r="F48" s="21" t="s">
        <v>424</v>
      </c>
      <c r="G48" s="21"/>
    </row>
    <row r="49" spans="1:7" ht="26.4" x14ac:dyDescent="0.3">
      <c r="A49" s="21" t="s">
        <v>425</v>
      </c>
      <c r="B49" s="21" t="s">
        <v>426</v>
      </c>
      <c r="C49" s="21" t="s">
        <v>427</v>
      </c>
      <c r="D49" s="21" t="s">
        <v>420</v>
      </c>
      <c r="E49" s="21" t="s">
        <v>420</v>
      </c>
      <c r="F49" s="21" t="s">
        <v>428</v>
      </c>
      <c r="G49" s="21" t="s">
        <v>429</v>
      </c>
    </row>
    <row r="50" spans="1:7" ht="26.4" x14ac:dyDescent="0.3">
      <c r="A50" s="21" t="s">
        <v>425</v>
      </c>
      <c r="B50" s="21" t="s">
        <v>430</v>
      </c>
      <c r="C50" s="21" t="s">
        <v>431</v>
      </c>
      <c r="D50" s="21" t="s">
        <v>420</v>
      </c>
      <c r="E50" s="21" t="s">
        <v>420</v>
      </c>
      <c r="F50" s="21" t="s">
        <v>432</v>
      </c>
      <c r="G50" s="21" t="s">
        <v>433</v>
      </c>
    </row>
    <row r="51" spans="1:7" ht="39.6" x14ac:dyDescent="0.3">
      <c r="A51" s="21" t="s">
        <v>425</v>
      </c>
      <c r="B51" s="21" t="s">
        <v>434</v>
      </c>
      <c r="C51" s="21" t="s">
        <v>435</v>
      </c>
      <c r="D51" s="21" t="s">
        <v>436</v>
      </c>
      <c r="E51" s="21" t="s">
        <v>372</v>
      </c>
      <c r="F51" s="21" t="s">
        <v>437</v>
      </c>
      <c r="G51" s="21" t="s">
        <v>438</v>
      </c>
    </row>
    <row r="52" spans="1:7" ht="26.4" x14ac:dyDescent="0.3">
      <c r="A52" s="21" t="s">
        <v>425</v>
      </c>
      <c r="B52" s="21" t="s">
        <v>439</v>
      </c>
      <c r="C52" s="21" t="s">
        <v>440</v>
      </c>
      <c r="D52" s="21" t="s">
        <v>441</v>
      </c>
      <c r="E52" s="21" t="s">
        <v>258</v>
      </c>
      <c r="F52" s="21" t="s">
        <v>442</v>
      </c>
      <c r="G52" s="21" t="s">
        <v>443</v>
      </c>
    </row>
    <row r="53" spans="1:7" ht="26.4" x14ac:dyDescent="0.3">
      <c r="A53" s="21" t="s">
        <v>425</v>
      </c>
      <c r="B53" s="21" t="s">
        <v>444</v>
      </c>
      <c r="C53" s="21" t="s">
        <v>445</v>
      </c>
      <c r="D53" s="21" t="s">
        <v>446</v>
      </c>
      <c r="E53" s="21" t="s">
        <v>258</v>
      </c>
      <c r="F53" s="21" t="s">
        <v>447</v>
      </c>
      <c r="G53" s="21"/>
    </row>
    <row r="54" spans="1:7" ht="39.6" x14ac:dyDescent="0.3">
      <c r="A54" s="21" t="s">
        <v>425</v>
      </c>
      <c r="B54" s="21" t="s">
        <v>448</v>
      </c>
      <c r="C54" s="21" t="s">
        <v>449</v>
      </c>
      <c r="D54" s="21" t="s">
        <v>450</v>
      </c>
      <c r="E54" s="21" t="s">
        <v>333</v>
      </c>
      <c r="F54" s="21" t="s">
        <v>451</v>
      </c>
      <c r="G54" s="21"/>
    </row>
    <row r="55" spans="1:7" ht="39.6" x14ac:dyDescent="0.3">
      <c r="A55" s="21" t="s">
        <v>425</v>
      </c>
      <c r="B55" s="21" t="s">
        <v>452</v>
      </c>
      <c r="C55" s="21" t="s">
        <v>453</v>
      </c>
      <c r="D55" s="21" t="s">
        <v>349</v>
      </c>
      <c r="E55" s="21" t="s">
        <v>333</v>
      </c>
      <c r="F55" s="21" t="s">
        <v>383</v>
      </c>
      <c r="G55" s="21"/>
    </row>
    <row r="56" spans="1:7" ht="26.4" x14ac:dyDescent="0.3">
      <c r="A56" s="21" t="s">
        <v>425</v>
      </c>
      <c r="B56" s="21" t="s">
        <v>454</v>
      </c>
      <c r="C56" s="21" t="s">
        <v>455</v>
      </c>
      <c r="D56" s="21" t="s">
        <v>456</v>
      </c>
      <c r="E56" s="21" t="s">
        <v>333</v>
      </c>
      <c r="F56" s="21" t="s">
        <v>457</v>
      </c>
      <c r="G56" s="21"/>
    </row>
    <row r="57" spans="1:7" ht="26.4" x14ac:dyDescent="0.3">
      <c r="A57" s="21" t="s">
        <v>425</v>
      </c>
      <c r="B57" s="21" t="s">
        <v>458</v>
      </c>
      <c r="C57" s="21" t="s">
        <v>459</v>
      </c>
      <c r="D57" s="21" t="s">
        <v>460</v>
      </c>
      <c r="E57" s="21" t="s">
        <v>461</v>
      </c>
      <c r="F57" s="21" t="s">
        <v>462</v>
      </c>
      <c r="G57" s="21"/>
    </row>
    <row r="58" spans="1:7" ht="26.4" x14ac:dyDescent="0.3">
      <c r="A58" s="21" t="s">
        <v>425</v>
      </c>
      <c r="B58" s="21" t="s">
        <v>463</v>
      </c>
      <c r="C58" s="21" t="s">
        <v>464</v>
      </c>
      <c r="D58" s="21" t="s">
        <v>465</v>
      </c>
      <c r="E58" s="21" t="s">
        <v>461</v>
      </c>
      <c r="F58" s="21" t="s">
        <v>466</v>
      </c>
      <c r="G58" s="21"/>
    </row>
    <row r="59" spans="1:7" ht="26.4" x14ac:dyDescent="0.3">
      <c r="A59" s="21" t="s">
        <v>425</v>
      </c>
      <c r="B59" s="21" t="s">
        <v>467</v>
      </c>
      <c r="C59" s="21" t="s">
        <v>468</v>
      </c>
      <c r="D59" s="21" t="s">
        <v>349</v>
      </c>
      <c r="E59" s="21" t="s">
        <v>333</v>
      </c>
      <c r="F59" s="21" t="s">
        <v>469</v>
      </c>
      <c r="G59" s="21"/>
    </row>
    <row r="60" spans="1:7" ht="39.6" x14ac:dyDescent="0.3">
      <c r="A60" s="21" t="s">
        <v>470</v>
      </c>
      <c r="B60" s="21" t="s">
        <v>471</v>
      </c>
      <c r="C60" s="21" t="s">
        <v>472</v>
      </c>
      <c r="D60" s="21" t="s">
        <v>371</v>
      </c>
      <c r="E60" s="21" t="s">
        <v>372</v>
      </c>
      <c r="F60" s="21" t="s">
        <v>473</v>
      </c>
      <c r="G60" s="21"/>
    </row>
    <row r="61" spans="1:7" ht="26.4" x14ac:dyDescent="0.3">
      <c r="A61" s="21" t="s">
        <v>470</v>
      </c>
      <c r="B61" s="21" t="s">
        <v>474</v>
      </c>
      <c r="C61" s="21" t="s">
        <v>475</v>
      </c>
      <c r="D61" s="21" t="s">
        <v>371</v>
      </c>
      <c r="E61" s="21" t="s">
        <v>372</v>
      </c>
      <c r="F61" s="21" t="s">
        <v>476</v>
      </c>
      <c r="G61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zoomScaleNormal="100" workbookViewId="0"/>
  </sheetViews>
  <sheetFormatPr defaultColWidth="8.6640625" defaultRowHeight="14.4" x14ac:dyDescent="0.3"/>
  <cols>
    <col min="1" max="1" width="9" customWidth="1"/>
    <col min="2" max="2" width="46" customWidth="1"/>
    <col min="3" max="3" width="30" customWidth="1"/>
    <col min="4" max="4" width="40" customWidth="1"/>
    <col min="5" max="5" width="34" customWidth="1"/>
    <col min="6" max="6" width="60" customWidth="1"/>
  </cols>
  <sheetData>
    <row r="1" spans="1:6" ht="16.8" x14ac:dyDescent="0.3">
      <c r="A1" s="8" t="s">
        <v>477</v>
      </c>
    </row>
    <row r="2" spans="1:6" x14ac:dyDescent="0.3">
      <c r="A2" s="9" t="s">
        <v>478</v>
      </c>
    </row>
    <row r="4" spans="1:6" x14ac:dyDescent="0.3">
      <c r="A4" s="4" t="s">
        <v>479</v>
      </c>
      <c r="B4" s="4" t="s">
        <v>480</v>
      </c>
      <c r="C4" s="4" t="s">
        <v>481</v>
      </c>
      <c r="D4" s="4" t="s">
        <v>482</v>
      </c>
      <c r="E4" s="4" t="s">
        <v>483</v>
      </c>
      <c r="F4" s="4" t="s">
        <v>484</v>
      </c>
    </row>
    <row r="5" spans="1:6" ht="26.4" x14ac:dyDescent="0.3">
      <c r="A5" s="22" t="s">
        <v>485</v>
      </c>
      <c r="B5" s="22" t="s">
        <v>486</v>
      </c>
      <c r="C5" s="22" t="s">
        <v>487</v>
      </c>
      <c r="D5" s="22" t="s">
        <v>488</v>
      </c>
      <c r="E5" s="22" t="s">
        <v>489</v>
      </c>
      <c r="F5" s="22" t="s">
        <v>490</v>
      </c>
    </row>
    <row r="6" spans="1:6" ht="26.4" x14ac:dyDescent="0.3">
      <c r="A6" s="21" t="s">
        <v>491</v>
      </c>
      <c r="B6" s="21" t="s">
        <v>492</v>
      </c>
      <c r="C6" s="21" t="s">
        <v>493</v>
      </c>
      <c r="D6" s="21" t="s">
        <v>494</v>
      </c>
      <c r="E6" s="21" t="s">
        <v>495</v>
      </c>
      <c r="F6" s="21" t="s">
        <v>496</v>
      </c>
    </row>
    <row r="7" spans="1:6" ht="26.4" x14ac:dyDescent="0.3">
      <c r="A7" s="21" t="s">
        <v>491</v>
      </c>
      <c r="B7" s="21" t="s">
        <v>497</v>
      </c>
      <c r="C7" s="21" t="s">
        <v>498</v>
      </c>
      <c r="D7" s="21" t="s">
        <v>499</v>
      </c>
      <c r="E7" s="21" t="s">
        <v>500</v>
      </c>
      <c r="F7" s="21" t="s">
        <v>501</v>
      </c>
    </row>
    <row r="8" spans="1:6" ht="26.4" x14ac:dyDescent="0.3">
      <c r="A8" s="21" t="s">
        <v>491</v>
      </c>
      <c r="B8" s="21" t="s">
        <v>502</v>
      </c>
      <c r="C8" s="21" t="s">
        <v>503</v>
      </c>
      <c r="D8" s="21" t="s">
        <v>504</v>
      </c>
      <c r="E8" s="21" t="s">
        <v>505</v>
      </c>
      <c r="F8" s="21" t="s">
        <v>506</v>
      </c>
    </row>
    <row r="9" spans="1:6" ht="39.6" x14ac:dyDescent="0.3">
      <c r="A9" s="21" t="s">
        <v>491</v>
      </c>
      <c r="B9" s="21" t="s">
        <v>507</v>
      </c>
      <c r="C9" s="21" t="s">
        <v>508</v>
      </c>
      <c r="D9" s="21" t="s">
        <v>509</v>
      </c>
      <c r="E9" s="21" t="s">
        <v>510</v>
      </c>
      <c r="F9" s="21" t="s">
        <v>511</v>
      </c>
    </row>
    <row r="10" spans="1:6" ht="26.4" x14ac:dyDescent="0.3">
      <c r="A10" s="21" t="s">
        <v>491</v>
      </c>
      <c r="B10" s="21" t="s">
        <v>512</v>
      </c>
      <c r="C10" s="21" t="s">
        <v>513</v>
      </c>
      <c r="D10" s="21" t="s">
        <v>514</v>
      </c>
      <c r="E10" s="21" t="s">
        <v>515</v>
      </c>
      <c r="F10" s="21" t="s">
        <v>516</v>
      </c>
    </row>
    <row r="11" spans="1:6" x14ac:dyDescent="0.3">
      <c r="A11" s="21" t="s">
        <v>491</v>
      </c>
      <c r="B11" s="21" t="s">
        <v>517</v>
      </c>
      <c r="C11" s="21" t="s">
        <v>518</v>
      </c>
      <c r="D11" s="21" t="s">
        <v>392</v>
      </c>
      <c r="E11" s="21" t="s">
        <v>519</v>
      </c>
      <c r="F11" s="21" t="s">
        <v>520</v>
      </c>
    </row>
    <row r="12" spans="1:6" x14ac:dyDescent="0.3">
      <c r="A12" s="21" t="s">
        <v>521</v>
      </c>
      <c r="B12" s="21" t="s">
        <v>522</v>
      </c>
      <c r="C12" s="21" t="s">
        <v>523</v>
      </c>
      <c r="D12" s="21" t="s">
        <v>524</v>
      </c>
      <c r="E12" s="21" t="s">
        <v>525</v>
      </c>
      <c r="F12" s="21" t="s">
        <v>526</v>
      </c>
    </row>
    <row r="13" spans="1:6" ht="26.4" x14ac:dyDescent="0.3">
      <c r="A13" s="21" t="s">
        <v>521</v>
      </c>
      <c r="B13" s="21" t="s">
        <v>527</v>
      </c>
      <c r="C13" s="21" t="s">
        <v>528</v>
      </c>
      <c r="D13" s="21" t="s">
        <v>529</v>
      </c>
      <c r="E13" s="21" t="s">
        <v>530</v>
      </c>
      <c r="F13" s="21" t="s">
        <v>531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3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9" customWidth="1"/>
    <col min="3" max="4" width="14" customWidth="1"/>
    <col min="5" max="6" width="11" customWidth="1"/>
    <col min="7" max="7" width="14" customWidth="1"/>
    <col min="8" max="9" width="15" customWidth="1"/>
    <col min="10" max="11" width="10" customWidth="1"/>
  </cols>
  <sheetData>
    <row r="1" spans="1:11" ht="16.8" x14ac:dyDescent="0.3">
      <c r="A1" s="8" t="s">
        <v>532</v>
      </c>
    </row>
    <row r="2" spans="1:11" x14ac:dyDescent="0.3">
      <c r="A2" s="9" t="s">
        <v>533</v>
      </c>
    </row>
    <row r="4" spans="1:11" ht="26.4" x14ac:dyDescent="0.3">
      <c r="A4" s="4" t="s">
        <v>155</v>
      </c>
      <c r="B4" s="4" t="s">
        <v>23</v>
      </c>
      <c r="C4" s="4" t="s">
        <v>534</v>
      </c>
      <c r="D4" s="4" t="s">
        <v>535</v>
      </c>
      <c r="E4" s="4" t="s">
        <v>536</v>
      </c>
      <c r="F4" s="4" t="s">
        <v>537</v>
      </c>
      <c r="G4" s="4" t="s">
        <v>25</v>
      </c>
      <c r="H4" s="4" t="s">
        <v>538</v>
      </c>
      <c r="I4" s="4" t="s">
        <v>539</v>
      </c>
      <c r="J4" s="4" t="s">
        <v>540</v>
      </c>
      <c r="K4" s="4" t="s">
        <v>541</v>
      </c>
    </row>
    <row r="5" spans="1:11" x14ac:dyDescent="0.3">
      <c r="A5" s="5" t="s">
        <v>27</v>
      </c>
      <c r="B5" s="5" t="s">
        <v>36</v>
      </c>
      <c r="C5" s="23">
        <v>286.47000000000003</v>
      </c>
      <c r="D5" s="23">
        <v>286.47000000000003</v>
      </c>
      <c r="E5" s="23">
        <v>380</v>
      </c>
      <c r="F5" s="23">
        <v>400</v>
      </c>
      <c r="G5" s="23">
        <v>376.65</v>
      </c>
      <c r="H5" s="13">
        <f t="shared" ref="H5:H10" si="0">C5*10000000/F5/100000</f>
        <v>71.617500000000007</v>
      </c>
      <c r="I5" s="13">
        <f t="shared" ref="I5:I10" si="1">D5*10000000/E5/100000</f>
        <v>75.38684210526317</v>
      </c>
      <c r="J5" s="17">
        <f t="shared" ref="J5:J10" si="2">H5/G5</f>
        <v>0.19014336917562727</v>
      </c>
      <c r="K5" s="17">
        <f t="shared" ref="K5:K10" si="3">I5/G5</f>
        <v>0.20015091492171294</v>
      </c>
    </row>
    <row r="6" spans="1:11" x14ac:dyDescent="0.3">
      <c r="A6" s="5" t="s">
        <v>27</v>
      </c>
      <c r="B6" s="5" t="s">
        <v>37</v>
      </c>
      <c r="C6" s="23">
        <f>0.48*1039</f>
        <v>498.71999999999997</v>
      </c>
      <c r="D6" s="23">
        <f>0.51*1039</f>
        <v>529.89</v>
      </c>
      <c r="E6" s="23">
        <v>380</v>
      </c>
      <c r="F6" s="23">
        <v>400</v>
      </c>
      <c r="G6" s="23">
        <v>434.09</v>
      </c>
      <c r="H6" s="13">
        <f t="shared" si="0"/>
        <v>124.68</v>
      </c>
      <c r="I6" s="13">
        <f t="shared" si="1"/>
        <v>139.44473684210527</v>
      </c>
      <c r="J6" s="17">
        <f t="shared" si="2"/>
        <v>0.28722154391946375</v>
      </c>
      <c r="K6" s="17">
        <f t="shared" si="3"/>
        <v>0.32123462148887394</v>
      </c>
    </row>
    <row r="7" spans="1:11" x14ac:dyDescent="0.3">
      <c r="A7" s="5" t="s">
        <v>542</v>
      </c>
      <c r="B7" s="5" t="s">
        <v>36</v>
      </c>
      <c r="C7" s="23">
        <v>115.62</v>
      </c>
      <c r="D7" s="23">
        <v>115.62</v>
      </c>
      <c r="E7" s="23">
        <v>370</v>
      </c>
      <c r="F7" s="23">
        <v>470</v>
      </c>
      <c r="G7" s="23">
        <v>1378.25</v>
      </c>
      <c r="H7" s="13">
        <f t="shared" si="0"/>
        <v>24.6</v>
      </c>
      <c r="I7" s="13">
        <f t="shared" si="1"/>
        <v>31.248648648648647</v>
      </c>
      <c r="J7" s="17">
        <f t="shared" si="2"/>
        <v>1.7848721204425905E-2</v>
      </c>
      <c r="K7" s="17">
        <f t="shared" si="3"/>
        <v>2.2672699908324795E-2</v>
      </c>
    </row>
    <row r="8" spans="1:11" x14ac:dyDescent="0.3">
      <c r="A8" s="5" t="s">
        <v>542</v>
      </c>
      <c r="B8" s="5" t="s">
        <v>37</v>
      </c>
      <c r="C8" s="23">
        <f>718-0.51*1039</f>
        <v>188.11</v>
      </c>
      <c r="D8" s="23">
        <f>718-0.48*1039</f>
        <v>219.28000000000003</v>
      </c>
      <c r="E8" s="23">
        <v>370</v>
      </c>
      <c r="F8" s="23">
        <v>470</v>
      </c>
      <c r="G8" s="23">
        <v>1501.84</v>
      </c>
      <c r="H8" s="13">
        <f t="shared" si="0"/>
        <v>40.023404255319157</v>
      </c>
      <c r="I8" s="13">
        <f t="shared" si="1"/>
        <v>59.264864864864883</v>
      </c>
      <c r="J8" s="17">
        <f t="shared" si="2"/>
        <v>2.6649579352873248E-2</v>
      </c>
      <c r="K8" s="17">
        <f t="shared" si="3"/>
        <v>3.9461503798583659E-2</v>
      </c>
    </row>
    <row r="9" spans="1:11" x14ac:dyDescent="0.3">
      <c r="A9" s="5" t="s">
        <v>543</v>
      </c>
      <c r="B9" s="5" t="s">
        <v>36</v>
      </c>
      <c r="C9" s="23">
        <v>270.27</v>
      </c>
      <c r="D9" s="23">
        <v>270.27</v>
      </c>
      <c r="E9" s="23">
        <v>70</v>
      </c>
      <c r="F9" s="23">
        <v>81</v>
      </c>
      <c r="G9" s="23">
        <v>4531.58</v>
      </c>
      <c r="H9" s="13">
        <f t="shared" si="0"/>
        <v>333.66666666666669</v>
      </c>
      <c r="I9" s="13">
        <f t="shared" si="1"/>
        <v>386.1</v>
      </c>
      <c r="J9" s="17">
        <f t="shared" si="2"/>
        <v>7.3631419210665308E-2</v>
      </c>
      <c r="K9" s="17">
        <f t="shared" si="3"/>
        <v>8.5202070800912716E-2</v>
      </c>
    </row>
    <row r="10" spans="1:11" x14ac:dyDescent="0.3">
      <c r="A10" s="5" t="s">
        <v>543</v>
      </c>
      <c r="B10" s="5" t="s">
        <v>37</v>
      </c>
      <c r="C10" s="23">
        <v>321</v>
      </c>
      <c r="D10" s="23">
        <v>321</v>
      </c>
      <c r="E10" s="23">
        <v>70</v>
      </c>
      <c r="F10" s="23">
        <v>81</v>
      </c>
      <c r="G10" s="23">
        <v>4546.1099999999997</v>
      </c>
      <c r="H10" s="13">
        <f t="shared" si="0"/>
        <v>396.29629629629625</v>
      </c>
      <c r="I10" s="13">
        <f t="shared" si="1"/>
        <v>458.57142857142856</v>
      </c>
      <c r="J10" s="17">
        <f t="shared" si="2"/>
        <v>8.7172614894117442E-2</v>
      </c>
      <c r="K10" s="17">
        <f t="shared" si="3"/>
        <v>0.10087116866319305</v>
      </c>
    </row>
    <row r="12" spans="1:11" x14ac:dyDescent="0.3">
      <c r="A12" s="7" t="s">
        <v>544</v>
      </c>
    </row>
    <row r="13" spans="1:11" x14ac:dyDescent="0.3">
      <c r="A13" s="7" t="s">
        <v>545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1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4" customWidth="1"/>
    <col min="3" max="12" width="12" customWidth="1"/>
    <col min="13" max="13" width="20" customWidth="1"/>
  </cols>
  <sheetData>
    <row r="1" spans="1:13" ht="16.8" x14ac:dyDescent="0.3">
      <c r="A1" s="8" t="s">
        <v>546</v>
      </c>
    </row>
    <row r="2" spans="1:13" x14ac:dyDescent="0.3">
      <c r="A2" s="9" t="s">
        <v>547</v>
      </c>
    </row>
    <row r="4" spans="1:13" ht="26.4" x14ac:dyDescent="0.3">
      <c r="A4" s="4" t="s">
        <v>21</v>
      </c>
      <c r="B4" s="4" t="s">
        <v>548</v>
      </c>
      <c r="C4" s="4" t="s">
        <v>549</v>
      </c>
      <c r="D4" s="4" t="s">
        <v>550</v>
      </c>
      <c r="E4" s="4" t="s">
        <v>551</v>
      </c>
      <c r="F4" s="4" t="s">
        <v>552</v>
      </c>
      <c r="G4" s="4" t="s">
        <v>553</v>
      </c>
      <c r="I4" s="4" t="s">
        <v>554</v>
      </c>
      <c r="J4" s="4" t="s">
        <v>555</v>
      </c>
    </row>
    <row r="5" spans="1:13" x14ac:dyDescent="0.3">
      <c r="A5" s="5" t="s">
        <v>556</v>
      </c>
      <c r="B5" s="24">
        <f>MSP_FRP!C5</f>
        <v>1410</v>
      </c>
      <c r="C5" s="24">
        <f>MSP_FRP!L5</f>
        <v>2300</v>
      </c>
      <c r="D5" s="11">
        <f t="shared" ref="D5:D11" si="0">C5/B5-1</f>
        <v>0.63120567375886516</v>
      </c>
      <c r="E5" s="25">
        <f>National_production!B5</f>
        <v>1044.08</v>
      </c>
      <c r="F5" s="25">
        <f>National_production!B14</f>
        <v>1501.84</v>
      </c>
      <c r="G5" s="11">
        <f t="shared" ref="G5:G11" si="1">F5/E5-1</f>
        <v>0.43843383648762546</v>
      </c>
      <c r="I5" s="5">
        <f t="shared" ref="I5:I11" si="2">RANK(D5,$D$5:$D$11,1)</f>
        <v>3</v>
      </c>
      <c r="J5" s="5">
        <f t="shared" ref="J5:J11" si="3">RANK(G5,$G$5:$G$11,1)</f>
        <v>6</v>
      </c>
    </row>
    <row r="6" spans="1:13" x14ac:dyDescent="0.3">
      <c r="A6" s="5" t="s">
        <v>43</v>
      </c>
      <c r="B6" s="24">
        <f>MSP_FRP!C13</f>
        <v>1525</v>
      </c>
      <c r="C6" s="24">
        <f>MSP_FRP!L13</f>
        <v>2425</v>
      </c>
      <c r="D6" s="11">
        <f t="shared" si="0"/>
        <v>0.5901639344262295</v>
      </c>
      <c r="E6" s="25">
        <f>National_production!C5</f>
        <v>922.88</v>
      </c>
      <c r="F6" s="25">
        <f>National_production!C14</f>
        <v>1179.45</v>
      </c>
      <c r="G6" s="11">
        <f t="shared" si="1"/>
        <v>0.2780101421636616</v>
      </c>
      <c r="I6" s="5">
        <f t="shared" si="2"/>
        <v>2</v>
      </c>
      <c r="J6" s="5">
        <f t="shared" si="3"/>
        <v>3</v>
      </c>
    </row>
    <row r="7" spans="1:13" x14ac:dyDescent="0.3">
      <c r="A7" s="5" t="s">
        <v>27</v>
      </c>
      <c r="B7" s="24">
        <f>MSP_FRP!C6</f>
        <v>1325</v>
      </c>
      <c r="C7" s="24">
        <f>MSP_FRP!L6</f>
        <v>2225</v>
      </c>
      <c r="D7" s="11">
        <f t="shared" si="0"/>
        <v>0.679245283018868</v>
      </c>
      <c r="E7" s="25">
        <f>National_production!D5</f>
        <v>225.67</v>
      </c>
      <c r="F7" s="25">
        <f>National_production!D14</f>
        <v>434.09</v>
      </c>
      <c r="G7" s="11">
        <f t="shared" si="1"/>
        <v>0.92356095183232156</v>
      </c>
      <c r="I7" s="5">
        <f t="shared" si="2"/>
        <v>4</v>
      </c>
      <c r="J7" s="5">
        <f t="shared" si="3"/>
        <v>7</v>
      </c>
    </row>
    <row r="8" spans="1:13" x14ac:dyDescent="0.3">
      <c r="A8" s="5" t="s">
        <v>44</v>
      </c>
      <c r="B8" s="24">
        <f>MSP_FRP!C7</f>
        <v>1570</v>
      </c>
      <c r="C8" s="24">
        <f>MSP_FRP!L7</f>
        <v>3371</v>
      </c>
      <c r="D8" s="11">
        <f t="shared" si="0"/>
        <v>1.1471337579617833</v>
      </c>
      <c r="E8" s="25">
        <f>National_production!E5</f>
        <v>42.38</v>
      </c>
      <c r="F8" s="25">
        <f>National_production!E14</f>
        <v>49.55</v>
      </c>
      <c r="G8" s="11">
        <f t="shared" si="1"/>
        <v>0.16918357715903709</v>
      </c>
      <c r="I8" s="5">
        <f t="shared" si="2"/>
        <v>6</v>
      </c>
      <c r="J8" s="5">
        <f t="shared" si="3"/>
        <v>2</v>
      </c>
    </row>
    <row r="9" spans="1:13" x14ac:dyDescent="0.3">
      <c r="A9" s="5" t="s">
        <v>45</v>
      </c>
      <c r="B9" s="24">
        <f>MSP_FRP!C8</f>
        <v>1275</v>
      </c>
      <c r="C9" s="24">
        <f>MSP_FRP!L8</f>
        <v>2625</v>
      </c>
      <c r="D9" s="11">
        <f t="shared" si="0"/>
        <v>1.0588235294117645</v>
      </c>
      <c r="E9" s="25">
        <f>National_production!F5</f>
        <v>80.67</v>
      </c>
      <c r="F9" s="25">
        <f>National_production!F14</f>
        <v>112.05</v>
      </c>
      <c r="G9" s="11">
        <f t="shared" si="1"/>
        <v>0.38899219040535504</v>
      </c>
      <c r="I9" s="5">
        <f t="shared" si="2"/>
        <v>5</v>
      </c>
      <c r="J9" s="5">
        <f t="shared" si="3"/>
        <v>5</v>
      </c>
    </row>
    <row r="10" spans="1:13" x14ac:dyDescent="0.3">
      <c r="A10" s="5" t="s">
        <v>46</v>
      </c>
      <c r="B10" s="24">
        <f>MSP_FRP!C9</f>
        <v>1650</v>
      </c>
      <c r="C10" s="24">
        <f>MSP_FRP!L9</f>
        <v>4290</v>
      </c>
      <c r="D10" s="11">
        <f t="shared" si="0"/>
        <v>1.6</v>
      </c>
      <c r="E10" s="25">
        <f>National_production!G5</f>
        <v>18.22</v>
      </c>
      <c r="F10" s="25">
        <f>National_production!G14</f>
        <v>19.77</v>
      </c>
      <c r="G10" s="11">
        <f t="shared" si="1"/>
        <v>8.507135016465428E-2</v>
      </c>
      <c r="I10" s="5">
        <f t="shared" si="2"/>
        <v>7</v>
      </c>
      <c r="J10" s="5">
        <f t="shared" si="3"/>
        <v>1</v>
      </c>
    </row>
    <row r="11" spans="1:13" x14ac:dyDescent="0.3">
      <c r="A11" s="5" t="s">
        <v>557</v>
      </c>
      <c r="B11" s="24">
        <f>MSP_FRP!C14</f>
        <v>230</v>
      </c>
      <c r="C11" s="24">
        <f>MSP_FRP!L14</f>
        <v>340</v>
      </c>
      <c r="D11" s="11">
        <f t="shared" si="0"/>
        <v>0.47826086956521729</v>
      </c>
      <c r="E11" s="25">
        <f>National_production!H5</f>
        <v>3484.48</v>
      </c>
      <c r="F11" s="25">
        <f>National_production!H14</f>
        <v>4546.1099999999997</v>
      </c>
      <c r="G11" s="11">
        <f t="shared" si="1"/>
        <v>0.3046738681237946</v>
      </c>
      <c r="I11" s="5">
        <f t="shared" si="2"/>
        <v>1</v>
      </c>
      <c r="J11" s="5">
        <f t="shared" si="3"/>
        <v>4</v>
      </c>
    </row>
    <row r="12" spans="1:13" x14ac:dyDescent="0.3">
      <c r="A12" s="10" t="s">
        <v>558</v>
      </c>
      <c r="D12" s="26">
        <f>CORREL(I5:I11,J5:J11)</f>
        <v>-0.42857142857142855</v>
      </c>
    </row>
    <row r="14" spans="1:13" ht="26.4" x14ac:dyDescent="0.3">
      <c r="A14" s="4" t="s">
        <v>559</v>
      </c>
      <c r="B14" s="4" t="s">
        <v>22</v>
      </c>
      <c r="C14" s="4" t="s">
        <v>29</v>
      </c>
      <c r="D14" s="4" t="s">
        <v>30</v>
      </c>
      <c r="E14" s="4" t="s">
        <v>31</v>
      </c>
      <c r="F14" s="4" t="s">
        <v>32</v>
      </c>
      <c r="G14" s="4" t="s">
        <v>33</v>
      </c>
      <c r="H14" s="4" t="s">
        <v>34</v>
      </c>
      <c r="I14" s="4" t="s">
        <v>35</v>
      </c>
      <c r="J14" s="4" t="s">
        <v>36</v>
      </c>
      <c r="K14" s="4" t="s">
        <v>37</v>
      </c>
      <c r="L14" s="4" t="s">
        <v>38</v>
      </c>
      <c r="M14" s="4" t="s">
        <v>560</v>
      </c>
    </row>
    <row r="15" spans="1:13" x14ac:dyDescent="0.3">
      <c r="A15" s="5" t="s">
        <v>25</v>
      </c>
      <c r="B15" s="5" t="s">
        <v>28</v>
      </c>
      <c r="C15" s="13">
        <f>SUMIFS(UPAg_crops!$F$2:$F$951,UPAg_crops!$A$2:$A$951,"All India",UPAg_crops!$B$2:$B$951,"Maize",UPAg_crops!$C$2:$C$951,"Kharif",UPAg_crops!$D$2:$D$951,"2016-17")</f>
        <v>189.19</v>
      </c>
      <c r="D15" s="13">
        <f>SUMIFS(UPAg_crops!$F$2:$F$951,UPAg_crops!$A$2:$A$951,"All India",UPAg_crops!$B$2:$B$951,"Maize",UPAg_crops!$C$2:$C$951,"Kharif",UPAg_crops!$D$2:$D$951,"2017-18")</f>
        <v>201.18</v>
      </c>
      <c r="E15" s="13">
        <f>SUMIFS(UPAg_crops!$F$2:$F$951,UPAg_crops!$A$2:$A$951,"All India",UPAg_crops!$B$2:$B$951,"Maize",UPAg_crops!$C$2:$C$951,"Kharif",UPAg_crops!$D$2:$D$951,"2018-19")</f>
        <v>194.14</v>
      </c>
      <c r="F15" s="13">
        <f>SUMIFS(UPAg_crops!$F$2:$F$951,UPAg_crops!$A$2:$A$951,"All India",UPAg_crops!$B$2:$B$951,"Maize",UPAg_crops!$C$2:$C$951,"Kharif",UPAg_crops!$D$2:$D$951,"2019-20")</f>
        <v>194.29</v>
      </c>
      <c r="G15" s="13">
        <f>SUMIFS(UPAg_crops!$F$2:$F$951,UPAg_crops!$A$2:$A$951,"All India",UPAg_crops!$B$2:$B$951,"Maize",UPAg_crops!$C$2:$C$951,"Kharif",UPAg_crops!$D$2:$D$951,"2020-21")</f>
        <v>215.55</v>
      </c>
      <c r="H15" s="13">
        <f>SUMIFS(UPAg_crops!$F$2:$F$951,UPAg_crops!$A$2:$A$951,"All India",UPAg_crops!$B$2:$B$951,"Maize",UPAg_crops!$C$2:$C$951,"Kharif",UPAg_crops!$D$2:$D$951,"2021-22")</f>
        <v>226.81</v>
      </c>
      <c r="I15" s="13">
        <f>SUMIFS(UPAg_crops!$F$2:$F$951,UPAg_crops!$A$2:$A$951,"All India",UPAg_crops!$B$2:$B$951,"Maize",UPAg_crops!$C$2:$C$951,"Kharif",UPAg_crops!$D$2:$D$951,"2022-23")</f>
        <v>236.74</v>
      </c>
      <c r="J15" s="13">
        <f>SUMIFS(UPAg_crops!$F$2:$F$951,UPAg_crops!$A$2:$A$951,"All India",UPAg_crops!$B$2:$B$951,"Maize",UPAg_crops!$C$2:$C$951,"Kharif",UPAg_crops!$D$2:$D$951,"2023-24")</f>
        <v>222.45</v>
      </c>
      <c r="K15" s="13">
        <f>SUMIFS(UPAg_crops!$F$2:$F$951,UPAg_crops!$A$2:$A$951,"All India",UPAg_crops!$B$2:$B$951,"Maize",UPAg_crops!$C$2:$C$951,"Kharif",UPAg_crops!$D$2:$D$951,"2024-25")</f>
        <v>248.08</v>
      </c>
      <c r="L15" s="13">
        <f>SUMIFS(UPAg_crops!$F$2:$F$951,UPAg_crops!$A$2:$A$951,"All India",UPAg_crops!$B$2:$B$951,"Maize",UPAg_crops!$C$2:$C$951,"Kharif",UPAg_crops!$D$2:$D$951,"2025-26")</f>
        <v>305.08999999999997</v>
      </c>
      <c r="M15" s="11">
        <f>AVERAGE(I15:K15)/AVERAGE(C15:E15)-1</f>
        <v>0.21002206976783966</v>
      </c>
    </row>
    <row r="16" spans="1:13" x14ac:dyDescent="0.3">
      <c r="A16" s="5" t="s">
        <v>25</v>
      </c>
      <c r="B16" s="5" t="s">
        <v>561</v>
      </c>
      <c r="C16" s="13">
        <f>SUMIFS(UPAg_crops!$F$2:$F$951,UPAg_crops!$A$2:$A$951,"All India",UPAg_crops!$B$2:$B$951,"Maize",UPAg_crops!$C$2:$C$951,"Rabi",UPAg_crops!$D$2:$D$951,"2016-17")+SUMIFS(UPAg_crops!$F$2:$F$951,UPAg_crops!$A$2:$A$951,"All India",UPAg_crops!$B$2:$B$951,"Maize",UPAg_crops!$C$2:$C$951,"Summer",UPAg_crops!$D$2:$D$951,"2016-17")</f>
        <v>69.81</v>
      </c>
      <c r="D16" s="13">
        <f>SUMIFS(UPAg_crops!$F$2:$F$951,UPAg_crops!$A$2:$A$951,"All India",UPAg_crops!$B$2:$B$951,"Maize",UPAg_crops!$C$2:$C$951,"Rabi",UPAg_crops!$D$2:$D$951,"2017-18")+SUMIFS(UPAg_crops!$F$2:$F$951,UPAg_crops!$A$2:$A$951,"All India",UPAg_crops!$B$2:$B$951,"Maize",UPAg_crops!$C$2:$C$951,"Summer",UPAg_crops!$D$2:$D$951,"2017-18")</f>
        <v>86.34</v>
      </c>
      <c r="E16" s="13">
        <f>SUMIFS(UPAg_crops!$F$2:$F$951,UPAg_crops!$A$2:$A$951,"All India",UPAg_crops!$B$2:$B$951,"Maize",UPAg_crops!$C$2:$C$951,"Rabi",UPAg_crops!$D$2:$D$951,"2018-19")+SUMIFS(UPAg_crops!$F$2:$F$951,UPAg_crops!$A$2:$A$951,"All India",UPAg_crops!$B$2:$B$951,"Maize",UPAg_crops!$C$2:$C$951,"Summer",UPAg_crops!$D$2:$D$951,"2018-19")</f>
        <v>83.02</v>
      </c>
      <c r="F16" s="13">
        <f>SUMIFS(UPAg_crops!$F$2:$F$951,UPAg_crops!$A$2:$A$951,"All India",UPAg_crops!$B$2:$B$951,"Maize",UPAg_crops!$C$2:$C$951,"Rabi",UPAg_crops!$D$2:$D$951,"2019-20")+SUMIFS(UPAg_crops!$F$2:$F$951,UPAg_crops!$A$2:$A$951,"All India",UPAg_crops!$B$2:$B$951,"Maize",UPAg_crops!$C$2:$C$951,"Summer",UPAg_crops!$D$2:$D$951,"2019-20")</f>
        <v>93.37</v>
      </c>
      <c r="G16" s="13">
        <f>SUMIFS(UPAg_crops!$F$2:$F$951,UPAg_crops!$A$2:$A$951,"All India",UPAg_crops!$B$2:$B$951,"Maize",UPAg_crops!$C$2:$C$951,"Rabi",UPAg_crops!$D$2:$D$951,"2020-21")+SUMIFS(UPAg_crops!$F$2:$F$951,UPAg_crops!$A$2:$A$951,"All India",UPAg_crops!$B$2:$B$951,"Maize",UPAg_crops!$C$2:$C$951,"Summer",UPAg_crops!$D$2:$D$951,"2020-21")</f>
        <v>100.92</v>
      </c>
      <c r="H16" s="13">
        <f>SUMIFS(UPAg_crops!$F$2:$F$951,UPAg_crops!$A$2:$A$951,"All India",UPAg_crops!$B$2:$B$951,"Maize",UPAg_crops!$C$2:$C$951,"Rabi",UPAg_crops!$D$2:$D$951,"2021-22")+SUMIFS(UPAg_crops!$F$2:$F$951,UPAg_crops!$A$2:$A$951,"All India",UPAg_crops!$B$2:$B$951,"Maize",UPAg_crops!$C$2:$C$951,"Summer",UPAg_crops!$D$2:$D$951,"2021-22")</f>
        <v>110.49</v>
      </c>
      <c r="I16" s="13">
        <f>SUMIFS(UPAg_crops!$F$2:$F$951,UPAg_crops!$A$2:$A$951,"All India",UPAg_crops!$B$2:$B$951,"Maize",UPAg_crops!$C$2:$C$951,"Rabi",UPAg_crops!$D$2:$D$951,"2022-23")+SUMIFS(UPAg_crops!$F$2:$F$951,UPAg_crops!$A$2:$A$951,"All India",UPAg_crops!$B$2:$B$951,"Maize",UPAg_crops!$C$2:$C$951,"Summer",UPAg_crops!$D$2:$D$951,"2022-23")</f>
        <v>144.11000000000001</v>
      </c>
      <c r="J16" s="13">
        <f>SUMIFS(UPAg_crops!$F$2:$F$951,UPAg_crops!$A$2:$A$951,"All India",UPAg_crops!$B$2:$B$951,"Maize",UPAg_crops!$C$2:$C$951,"Rabi",UPAg_crops!$D$2:$D$951,"2023-24")+SUMIFS(UPAg_crops!$F$2:$F$951,UPAg_crops!$A$2:$A$951,"All India",UPAg_crops!$B$2:$B$951,"Maize",UPAg_crops!$C$2:$C$951,"Summer",UPAg_crops!$D$2:$D$951,"2023-24")</f>
        <v>154.19999999999999</v>
      </c>
      <c r="K16" s="13">
        <f>SUMIFS(UPAg_crops!$F$2:$F$951,UPAg_crops!$A$2:$A$951,"All India",UPAg_crops!$B$2:$B$951,"Maize",UPAg_crops!$C$2:$C$951,"Rabi",UPAg_crops!$D$2:$D$951,"2024-25")+SUMIFS(UPAg_crops!$F$2:$F$951,UPAg_crops!$A$2:$A$951,"All India",UPAg_crops!$B$2:$B$951,"Maize",UPAg_crops!$C$2:$C$951,"Summer",UPAg_crops!$D$2:$D$951,"2024-25")</f>
        <v>186</v>
      </c>
      <c r="L16" s="13">
        <f>SUMIFS(UPAg_crops!$F$2:$F$951,UPAg_crops!$A$2:$A$951,"All India",UPAg_crops!$B$2:$B$951,"Maize",UPAg_crops!$C$2:$C$951,"Rabi",UPAg_crops!$D$2:$D$951,"2025-26")+SUMIFS(UPAg_crops!$F$2:$F$951,UPAg_crops!$A$2:$A$951,"All India",UPAg_crops!$B$2:$B$951,"Maize",UPAg_crops!$C$2:$C$951,"Summer",UPAg_crops!$D$2:$D$951,"2025-26")</f>
        <v>245.84</v>
      </c>
      <c r="M16" s="11">
        <f>AVERAGE(I16:K16)/AVERAGE(C16:E16)-1</f>
        <v>1.024961324580842</v>
      </c>
    </row>
    <row r="17" spans="1:13" x14ac:dyDescent="0.3">
      <c r="A17" s="5" t="s">
        <v>24</v>
      </c>
      <c r="B17" s="5" t="s">
        <v>28</v>
      </c>
      <c r="C17" s="13">
        <f>SUMIFS(UPAg_crops!$E$2:$E$951,UPAg_crops!$A$2:$A$951,"All India",UPAg_crops!$B$2:$B$951,"Maize",UPAg_crops!$C$2:$C$951,"Kharif",UPAg_crops!$D$2:$D$951,"2016-17")</f>
        <v>78.42</v>
      </c>
      <c r="D17" s="13">
        <f>SUMIFS(UPAg_crops!$E$2:$E$951,UPAg_crops!$A$2:$A$951,"All India",UPAg_crops!$B$2:$B$951,"Maize",UPAg_crops!$C$2:$C$951,"Kharif",UPAg_crops!$D$2:$D$951,"2017-18")</f>
        <v>74.34</v>
      </c>
      <c r="E17" s="13">
        <f>SUMIFS(UPAg_crops!$E$2:$E$951,UPAg_crops!$A$2:$A$951,"All India",UPAg_crops!$B$2:$B$951,"Maize",UPAg_crops!$C$2:$C$951,"Kharif",UPAg_crops!$D$2:$D$951,"2018-19")</f>
        <v>73.31</v>
      </c>
      <c r="F17" s="13">
        <f>SUMIFS(UPAg_crops!$E$2:$E$951,UPAg_crops!$A$2:$A$951,"All India",UPAg_crops!$B$2:$B$951,"Maize",UPAg_crops!$C$2:$C$951,"Kharif",UPAg_crops!$D$2:$D$951,"2019-20")</f>
        <v>75.53</v>
      </c>
      <c r="G17" s="13">
        <f>SUMIFS(UPAg_crops!$E$2:$E$951,UPAg_crops!$A$2:$A$951,"All India",UPAg_crops!$B$2:$B$951,"Maize",UPAg_crops!$C$2:$C$951,"Kharif",UPAg_crops!$D$2:$D$951,"2020-21")</f>
        <v>77.55</v>
      </c>
      <c r="H17" s="13">
        <f>SUMIFS(UPAg_crops!$E$2:$E$951,UPAg_crops!$A$2:$A$951,"All India",UPAg_crops!$B$2:$B$951,"Maize",UPAg_crops!$C$2:$C$951,"Kharif",UPAg_crops!$D$2:$D$951,"2021-22")</f>
        <v>77.849999999999994</v>
      </c>
      <c r="I17" s="13">
        <f>SUMIFS(UPAg_crops!$E$2:$E$951,UPAg_crops!$A$2:$A$951,"All India",UPAg_crops!$B$2:$B$951,"Maize",UPAg_crops!$C$2:$C$951,"Kharif",UPAg_crops!$D$2:$D$951,"2022-23")</f>
        <v>80.53</v>
      </c>
      <c r="J17" s="13">
        <f>SUMIFS(UPAg_crops!$E$2:$E$951,UPAg_crops!$A$2:$A$951,"All India",UPAg_crops!$B$2:$B$951,"Maize",UPAg_crops!$C$2:$C$951,"Kharif",UPAg_crops!$D$2:$D$951,"2023-24")</f>
        <v>83.29</v>
      </c>
      <c r="K17" s="13">
        <f>SUMIFS(UPAg_crops!$E$2:$E$951,UPAg_crops!$A$2:$A$951,"All India",UPAg_crops!$B$2:$B$951,"Maize",UPAg_crops!$C$2:$C$951,"Kharif",UPAg_crops!$D$2:$D$951,"2024-25")</f>
        <v>84.61</v>
      </c>
      <c r="L17" s="13">
        <f>SUMIFS(UPAg_crops!$E$2:$E$951,UPAg_crops!$A$2:$A$951,"All India",UPAg_crops!$B$2:$B$951,"Maize",UPAg_crops!$C$2:$C$951,"Kharif",UPAg_crops!$D$2:$D$951,"2025-26")</f>
        <v>98.61</v>
      </c>
      <c r="M17" s="11">
        <f>AVERAGE(I17:K17)/AVERAGE(C17:E17)-1</f>
        <v>9.8907418056354279E-2</v>
      </c>
    </row>
    <row r="18" spans="1:13" x14ac:dyDescent="0.3">
      <c r="A18" s="5" t="s">
        <v>24</v>
      </c>
      <c r="B18" s="5" t="s">
        <v>561</v>
      </c>
      <c r="C18" s="13">
        <f>SUMIFS(UPAg_crops!$E$2:$E$951,UPAg_crops!$A$2:$A$951,"All India",UPAg_crops!$B$2:$B$951,"Maize",UPAg_crops!$C$2:$C$951,"Rabi",UPAg_crops!$D$2:$D$951,"2016-17")+SUMIFS(UPAg_crops!$E$2:$E$951,UPAg_crops!$A$2:$A$951,"All India",UPAg_crops!$B$2:$B$951,"Maize",UPAg_crops!$C$2:$C$951,"Summer",UPAg_crops!$D$2:$D$951,"2016-17")</f>
        <v>17.920000000000002</v>
      </c>
      <c r="D18" s="13">
        <f>SUMIFS(UPAg_crops!$E$2:$E$951,UPAg_crops!$A$2:$A$951,"All India",UPAg_crops!$B$2:$B$951,"Maize",UPAg_crops!$C$2:$C$951,"Rabi",UPAg_crops!$D$2:$D$951,"2017-18")+SUMIFS(UPAg_crops!$E$2:$E$951,UPAg_crops!$A$2:$A$951,"All India",UPAg_crops!$B$2:$B$951,"Maize",UPAg_crops!$C$2:$C$951,"Summer",UPAg_crops!$D$2:$D$951,"2017-18")</f>
        <v>19.46</v>
      </c>
      <c r="E18" s="13">
        <f>SUMIFS(UPAg_crops!$E$2:$E$951,UPAg_crops!$A$2:$A$951,"All India",UPAg_crops!$B$2:$B$951,"Maize",UPAg_crops!$C$2:$C$951,"Rabi",UPAg_crops!$D$2:$D$951,"2018-19")+SUMIFS(UPAg_crops!$E$2:$E$951,UPAg_crops!$A$2:$A$951,"All India",UPAg_crops!$B$2:$B$951,"Maize",UPAg_crops!$C$2:$C$951,"Summer",UPAg_crops!$D$2:$D$951,"2018-19")</f>
        <v>16.97</v>
      </c>
      <c r="F18" s="13">
        <f>SUMIFS(UPAg_crops!$E$2:$E$951,UPAg_crops!$A$2:$A$951,"All India",UPAg_crops!$B$2:$B$951,"Maize",UPAg_crops!$C$2:$C$951,"Rabi",UPAg_crops!$D$2:$D$951,"2019-20")+SUMIFS(UPAg_crops!$E$2:$E$951,UPAg_crops!$A$2:$A$951,"All India",UPAg_crops!$B$2:$B$951,"Maize",UPAg_crops!$C$2:$C$951,"Summer",UPAg_crops!$D$2:$D$951,"2019-20")</f>
        <v>20.16</v>
      </c>
      <c r="G18" s="13">
        <f>SUMIFS(UPAg_crops!$E$2:$E$951,UPAg_crops!$A$2:$A$951,"All India",UPAg_crops!$B$2:$B$951,"Maize",UPAg_crops!$C$2:$C$951,"Rabi",UPAg_crops!$D$2:$D$951,"2020-21")+SUMIFS(UPAg_crops!$E$2:$E$951,UPAg_crops!$A$2:$A$951,"All India",UPAg_crops!$B$2:$B$951,"Maize",UPAg_crops!$C$2:$C$951,"Summer",UPAg_crops!$D$2:$D$951,"2020-21")</f>
        <v>21.37</v>
      </c>
      <c r="H18" s="13">
        <f>SUMIFS(UPAg_crops!$E$2:$E$951,UPAg_crops!$A$2:$A$951,"All India",UPAg_crops!$B$2:$B$951,"Maize",UPAg_crops!$C$2:$C$951,"Rabi",UPAg_crops!$D$2:$D$951,"2021-22")+SUMIFS(UPAg_crops!$E$2:$E$951,UPAg_crops!$A$2:$A$951,"All India",UPAg_crops!$B$2:$B$951,"Maize",UPAg_crops!$C$2:$C$951,"Summer",UPAg_crops!$D$2:$D$951,"2021-22")</f>
        <v>21.73</v>
      </c>
      <c r="I18" s="13">
        <f>SUMIFS(UPAg_crops!$E$2:$E$951,UPAg_crops!$A$2:$A$951,"All India",UPAg_crops!$B$2:$B$951,"Maize",UPAg_crops!$C$2:$C$951,"Rabi",UPAg_crops!$D$2:$D$951,"2022-23")+SUMIFS(UPAg_crops!$E$2:$E$951,UPAg_crops!$A$2:$A$951,"All India",UPAg_crops!$B$2:$B$951,"Maize",UPAg_crops!$C$2:$C$951,"Summer",UPAg_crops!$D$2:$D$951,"2022-23")</f>
        <v>26.909999999999997</v>
      </c>
      <c r="J18" s="13">
        <f>SUMIFS(UPAg_crops!$E$2:$E$951,UPAg_crops!$A$2:$A$951,"All India",UPAg_crops!$B$2:$B$951,"Maize",UPAg_crops!$C$2:$C$951,"Rabi",UPAg_crops!$D$2:$D$951,"2023-24")+SUMIFS(UPAg_crops!$E$2:$E$951,UPAg_crops!$A$2:$A$951,"All India",UPAg_crops!$B$2:$B$951,"Maize",UPAg_crops!$C$2:$C$951,"Summer",UPAg_crops!$D$2:$D$951,"2023-24")</f>
        <v>29.12</v>
      </c>
      <c r="K18" s="13">
        <f>SUMIFS(UPAg_crops!$E$2:$E$951,UPAg_crops!$A$2:$A$951,"All India",UPAg_crops!$B$2:$B$951,"Maize",UPAg_crops!$C$2:$C$951,"Rabi",UPAg_crops!$D$2:$D$951,"2024-25")+SUMIFS(UPAg_crops!$E$2:$E$951,UPAg_crops!$A$2:$A$951,"All India",UPAg_crops!$B$2:$B$951,"Maize",UPAg_crops!$C$2:$C$951,"Summer",UPAg_crops!$D$2:$D$951,"2024-25")</f>
        <v>36.299999999999997</v>
      </c>
      <c r="L18" s="13">
        <f>SUMIFS(UPAg_crops!$E$2:$E$951,UPAg_crops!$A$2:$A$951,"All India",UPAg_crops!$B$2:$B$951,"Maize",UPAg_crops!$C$2:$C$951,"Rabi",UPAg_crops!$D$2:$D$951,"2025-26")+SUMIFS(UPAg_crops!$E$2:$E$951,UPAg_crops!$A$2:$A$951,"All India",UPAg_crops!$B$2:$B$951,"Maize",UPAg_crops!$C$2:$C$951,"Summer",UPAg_crops!$D$2:$D$951,"2025-26")</f>
        <v>45.46</v>
      </c>
      <c r="M18" s="11">
        <f>AVERAGE(I18:K18)/AVERAGE(C18:E18)-1</f>
        <v>0.69880404783808636</v>
      </c>
    </row>
    <row r="19" spans="1:13" x14ac:dyDescent="0.3">
      <c r="A19" s="10" t="s">
        <v>562</v>
      </c>
      <c r="C19" s="16">
        <f t="shared" ref="C19:L19" si="4">C16/(C15+C16)</f>
        <v>0.26953667953667954</v>
      </c>
      <c r="D19" s="16">
        <f t="shared" si="4"/>
        <v>0.30029215358931555</v>
      </c>
      <c r="E19" s="16">
        <f t="shared" si="4"/>
        <v>0.2995381728965219</v>
      </c>
      <c r="F19" s="16">
        <f t="shared" si="4"/>
        <v>0.32458457901689497</v>
      </c>
      <c r="G19" s="16">
        <f t="shared" si="4"/>
        <v>0.31889278604607069</v>
      </c>
      <c r="H19" s="16">
        <f t="shared" si="4"/>
        <v>0.3275718944559739</v>
      </c>
      <c r="I19" s="16">
        <f t="shared" si="4"/>
        <v>0.37839044243140346</v>
      </c>
      <c r="J19" s="16">
        <f t="shared" si="4"/>
        <v>0.40939864595778575</v>
      </c>
      <c r="K19" s="16">
        <f t="shared" si="4"/>
        <v>0.42849244378916324</v>
      </c>
      <c r="L19" s="16">
        <f t="shared" si="4"/>
        <v>0.44622728840324549</v>
      </c>
    </row>
    <row r="21" spans="1:13" x14ac:dyDescent="0.3">
      <c r="A21" s="7" t="s">
        <v>563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1"/>
  <sheetViews>
    <sheetView zoomScaleNormal="100" workbookViewId="0"/>
  </sheetViews>
  <sheetFormatPr defaultColWidth="8.6640625" defaultRowHeight="14.4" x14ac:dyDescent="0.3"/>
  <cols>
    <col min="1" max="1" width="34" customWidth="1"/>
    <col min="2" max="14" width="13" customWidth="1"/>
  </cols>
  <sheetData>
    <row r="1" spans="1:14" ht="16.8" x14ac:dyDescent="0.3">
      <c r="A1" s="8" t="s">
        <v>564</v>
      </c>
    </row>
    <row r="2" spans="1:14" x14ac:dyDescent="0.3">
      <c r="A2" s="9" t="s">
        <v>565</v>
      </c>
    </row>
    <row r="4" spans="1:14" ht="39.6" x14ac:dyDescent="0.3">
      <c r="A4" s="4" t="s">
        <v>20</v>
      </c>
      <c r="B4" s="4" t="s">
        <v>566</v>
      </c>
      <c r="C4" s="4" t="s">
        <v>567</v>
      </c>
      <c r="D4" s="4" t="s">
        <v>568</v>
      </c>
      <c r="E4" s="4" t="s">
        <v>569</v>
      </c>
      <c r="F4" s="4" t="s">
        <v>570</v>
      </c>
      <c r="G4" s="4" t="s">
        <v>571</v>
      </c>
      <c r="H4" s="4" t="s">
        <v>572</v>
      </c>
      <c r="I4" s="4" t="s">
        <v>573</v>
      </c>
      <c r="J4" s="4" t="s">
        <v>574</v>
      </c>
      <c r="K4" s="4" t="s">
        <v>575</v>
      </c>
      <c r="L4" s="4" t="s">
        <v>576</v>
      </c>
      <c r="M4" s="4" t="s">
        <v>577</v>
      </c>
      <c r="N4" s="4" t="s">
        <v>578</v>
      </c>
    </row>
    <row r="5" spans="1:14" x14ac:dyDescent="0.3">
      <c r="A5" s="5" t="s">
        <v>26</v>
      </c>
      <c r="B5" s="27">
        <f>SUMPRODUCT((UPAg_crops!$A$2:$A$951=$A5)*(((UPAg_crops!$B$2:$B$951="Rice")+(UPAg_crops!$B$2:$B$951="Sugarcane"))*(UPAg_crops!$C$2:$C$951="Total")+(UPAg_crops!$B$2:$B$951="Maize")*((UPAg_crops!$C$2:$C$951="Rabi")+(UPAg_crops!$C$2:$C$951="Summer")))*ISNUMBER(MATCH(UPAg_crops!$D$2:$D$951,{"2016-17","2017-18","2018-19"},0))*UPAg_crops!$E$2:$E$951)/3</f>
        <v>39.619999999999997</v>
      </c>
      <c r="C5" s="27">
        <f>SUMPRODUCT((UPAg_crops!$A$2:$A$951=$A5)*(((UPAg_crops!$B$2:$B$951="Rice")+(UPAg_crops!$B$2:$B$951="Sugarcane"))*(UPAg_crops!$C$2:$C$951="Total")+(UPAg_crops!$B$2:$B$951="Maize")*((UPAg_crops!$C$2:$C$951="Rabi")+(UPAg_crops!$C$2:$C$951="Summer")))*ISNUMBER(MATCH(UPAg_crops!$D$2:$D$951,{"2021-22","2022-23","2023-24"},0))*UPAg_crops!$E$2:$E$951)/3</f>
        <v>38.276666666666664</v>
      </c>
      <c r="D5" s="11">
        <f t="shared" ref="D5:D14" si="0">C5/B5-1</f>
        <v>-3.3905434965505687E-2</v>
      </c>
      <c r="E5" s="28">
        <f>Groundwater!B5</f>
        <v>45.76</v>
      </c>
      <c r="F5" s="28">
        <f>Groundwater!F5</f>
        <v>45.54</v>
      </c>
      <c r="G5" s="29">
        <f t="shared" ref="G5:G14" si="1">F5-E5</f>
        <v>-0.21999999999999886</v>
      </c>
      <c r="H5" s="30">
        <f>Groundwater!F18/Groundwater!B18-1</f>
        <v>6.3348416289592757E-2</v>
      </c>
      <c r="I5" s="30">
        <f>Groundwater!F31/Groundwater!B31-1</f>
        <v>6.7609520524318789E-2</v>
      </c>
      <c r="J5" s="31">
        <v>-0.05</v>
      </c>
      <c r="K5" s="5">
        <f t="shared" ref="K5:K14" si="2">RANK(D5,$D$5:$D$14,1)</f>
        <v>1</v>
      </c>
      <c r="L5" s="5">
        <f t="shared" ref="L5:L14" si="3">RANK(G5,$G$5:$G$14,1)</f>
        <v>7</v>
      </c>
      <c r="M5" s="5">
        <f t="shared" ref="M5:M14" si="4">RANK(H5,$H$5:$H$14,1)</f>
        <v>9</v>
      </c>
      <c r="N5" s="5">
        <f t="shared" ref="N5:N14" si="5">RANK(I5,$I$5:$I$14,1)</f>
        <v>7</v>
      </c>
    </row>
    <row r="6" spans="1:14" x14ac:dyDescent="0.3">
      <c r="A6" s="5" t="s">
        <v>48</v>
      </c>
      <c r="B6" s="27">
        <f>SUMPRODUCT((UPAg_crops!$A$2:$A$951=$A6)*(((UPAg_crops!$B$2:$B$951="Rice")+(UPAg_crops!$B$2:$B$951="Sugarcane"))*(UPAg_crops!$C$2:$C$951="Total")+(UPAg_crops!$B$2:$B$951="Maize")*((UPAg_crops!$C$2:$C$951="Rabi")+(UPAg_crops!$C$2:$C$951="Summer")))*ISNUMBER(MATCH(UPAg_crops!$D$2:$D$951,{"2016-17","2017-18","2018-19"},0))*UPAg_crops!$E$2:$E$951)/3</f>
        <v>15.266666666666667</v>
      </c>
      <c r="C6" s="27">
        <f>SUMPRODUCT((UPAg_crops!$A$2:$A$951=$A6)*(((UPAg_crops!$B$2:$B$951="Rice")+(UPAg_crops!$B$2:$B$951="Sugarcane"))*(UPAg_crops!$C$2:$C$951="Total")+(UPAg_crops!$B$2:$B$951="Maize")*((UPAg_crops!$C$2:$C$951="Rabi")+(UPAg_crops!$C$2:$C$951="Summer")))*ISNUMBER(MATCH(UPAg_crops!$D$2:$D$951,{"2021-22","2022-23","2023-24"},0))*UPAg_crops!$E$2:$E$951)/3</f>
        <v>15.56</v>
      </c>
      <c r="D6" s="11">
        <f t="shared" si="0"/>
        <v>1.9213973799126594E-2</v>
      </c>
      <c r="E6" s="28">
        <f>Groundwater!B6</f>
        <v>136.91</v>
      </c>
      <c r="F6" s="28">
        <f>Groundwater!F6</f>
        <v>135.96</v>
      </c>
      <c r="G6" s="29">
        <f t="shared" si="1"/>
        <v>-0.94999999999998863</v>
      </c>
      <c r="H6" s="30">
        <f>Groundwater!F19/Groundwater!B19-1</f>
        <v>1.760000000000006E-2</v>
      </c>
      <c r="I6" s="30">
        <f>Groundwater!F32/Groundwater!B32-1</f>
        <v>2.5191675794085322E-2</v>
      </c>
      <c r="J6" s="31">
        <v>-4.3999999999999997E-2</v>
      </c>
      <c r="K6" s="5">
        <f t="shared" si="2"/>
        <v>3</v>
      </c>
      <c r="L6" s="5">
        <f t="shared" si="3"/>
        <v>6</v>
      </c>
      <c r="M6" s="5">
        <f t="shared" si="4"/>
        <v>5</v>
      </c>
      <c r="N6" s="5">
        <f t="shared" si="5"/>
        <v>5</v>
      </c>
    </row>
    <row r="7" spans="1:14" x14ac:dyDescent="0.3">
      <c r="A7" s="5" t="s">
        <v>49</v>
      </c>
      <c r="B7" s="27">
        <f>SUMPRODUCT((UPAg_crops!$A$2:$A$951=$A7)*(((UPAg_crops!$B$2:$B$951="Rice")+(UPAg_crops!$B$2:$B$951="Sugarcane"))*(UPAg_crops!$C$2:$C$951="Total")+(UPAg_crops!$B$2:$B$951="Maize")*((UPAg_crops!$C$2:$C$951="Rabi")+(UPAg_crops!$C$2:$C$951="Summer")))*ISNUMBER(MATCH(UPAg_crops!$D$2:$D$951,{"2016-17","2017-18","2018-19"},0))*UPAg_crops!$E$2:$E$951)/3</f>
        <v>15.81</v>
      </c>
      <c r="C7" s="27">
        <f>SUMPRODUCT((UPAg_crops!$A$2:$A$951=$A7)*(((UPAg_crops!$B$2:$B$951="Rice")+(UPAg_crops!$B$2:$B$951="Sugarcane"))*(UPAg_crops!$C$2:$C$951="Total")+(UPAg_crops!$B$2:$B$951="Maize")*((UPAg_crops!$C$2:$C$951="Rabi")+(UPAg_crops!$C$2:$C$951="Summer")))*ISNUMBER(MATCH(UPAg_crops!$D$2:$D$951,{"2021-22","2022-23","2023-24"},0))*UPAg_crops!$E$2:$E$951)/3</f>
        <v>21.016666666666669</v>
      </c>
      <c r="D7" s="11">
        <f t="shared" si="0"/>
        <v>0.32932742989668995</v>
      </c>
      <c r="E7" s="28">
        <f>Groundwater!B7</f>
        <v>69.87</v>
      </c>
      <c r="F7" s="28">
        <f>Groundwater!F7</f>
        <v>68.44</v>
      </c>
      <c r="G7" s="29">
        <f t="shared" si="1"/>
        <v>-1.4300000000000068</v>
      </c>
      <c r="H7" s="30">
        <f>Groundwater!F20/Groundwater!B20-1</f>
        <v>0.11702127659574479</v>
      </c>
      <c r="I7" s="30">
        <f>Groundwater!F33/Groundwater!B33-1</f>
        <v>0.14131169709263025</v>
      </c>
      <c r="J7" s="31">
        <v>0.152</v>
      </c>
      <c r="K7" s="5">
        <f t="shared" si="2"/>
        <v>9</v>
      </c>
      <c r="L7" s="5">
        <f t="shared" si="3"/>
        <v>5</v>
      </c>
      <c r="M7" s="5">
        <f t="shared" si="4"/>
        <v>10</v>
      </c>
      <c r="N7" s="5">
        <f t="shared" si="5"/>
        <v>9</v>
      </c>
    </row>
    <row r="8" spans="1:14" x14ac:dyDescent="0.3">
      <c r="A8" s="5" t="s">
        <v>50</v>
      </c>
      <c r="B8" s="27">
        <f>SUMPRODUCT((UPAg_crops!$A$2:$A$951=$A8)*(((UPAg_crops!$B$2:$B$951="Rice")+(UPAg_crops!$B$2:$B$951="Sugarcane"))*(UPAg_crops!$C$2:$C$951="Total")+(UPAg_crops!$B$2:$B$951="Maize")*((UPAg_crops!$C$2:$C$951="Rabi")+(UPAg_crops!$C$2:$C$951="Summer")))*ISNUMBER(MATCH(UPAg_crops!$D$2:$D$951,{"2016-17","2017-18","2018-19"},0))*UPAg_crops!$E$2:$E$951)/3</f>
        <v>23.603333333333335</v>
      </c>
      <c r="C8" s="27">
        <f>SUMPRODUCT((UPAg_crops!$A$2:$A$951=$A8)*(((UPAg_crops!$B$2:$B$951="Rice")+(UPAg_crops!$B$2:$B$951="Sugarcane"))*(UPAg_crops!$C$2:$C$951="Total")+(UPAg_crops!$B$2:$B$951="Maize")*((UPAg_crops!$C$2:$C$951="Rabi")+(UPAg_crops!$C$2:$C$951="Summer")))*ISNUMBER(MATCH(UPAg_crops!$D$2:$D$951,{"2021-22","2022-23","2023-24"},0))*UPAg_crops!$E$2:$E$951)/3</f>
        <v>31.053333333333338</v>
      </c>
      <c r="D8" s="11">
        <f t="shared" si="0"/>
        <v>0.31563338511509675</v>
      </c>
      <c r="E8" s="28">
        <f>Groundwater!B8</f>
        <v>54.76</v>
      </c>
      <c r="F8" s="28">
        <f>Groundwater!F8</f>
        <v>58.4</v>
      </c>
      <c r="G8" s="29">
        <f t="shared" si="1"/>
        <v>3.6400000000000006</v>
      </c>
      <c r="H8" s="30">
        <f>Groundwater!F21/Groundwater!B21-1</f>
        <v>5.137711864406791E-2</v>
      </c>
      <c r="I8" s="30">
        <f>Groundwater!F34/Groundwater!B34-1</f>
        <v>-1.3925152306353272E-2</v>
      </c>
      <c r="J8" s="31">
        <v>0.128</v>
      </c>
      <c r="K8" s="5">
        <f t="shared" si="2"/>
        <v>8</v>
      </c>
      <c r="L8" s="5">
        <f t="shared" si="3"/>
        <v>9</v>
      </c>
      <c r="M8" s="5">
        <f t="shared" si="4"/>
        <v>8</v>
      </c>
      <c r="N8" s="5">
        <f t="shared" si="5"/>
        <v>3</v>
      </c>
    </row>
    <row r="9" spans="1:14" x14ac:dyDescent="0.3">
      <c r="A9" s="5" t="s">
        <v>51</v>
      </c>
      <c r="B9" s="27">
        <f>SUMPRODUCT((UPAg_crops!$A$2:$A$951=$A9)*(((UPAg_crops!$B$2:$B$951="Rice")+(UPAg_crops!$B$2:$B$951="Sugarcane"))*(UPAg_crops!$C$2:$C$951="Total")+(UPAg_crops!$B$2:$B$951="Maize")*((UPAg_crops!$C$2:$C$951="Rabi")+(UPAg_crops!$C$2:$C$951="Summer")))*ISNUMBER(MATCH(UPAg_crops!$D$2:$D$951,{"2016-17","2017-18","2018-19"},0))*UPAg_crops!$E$2:$E$951)/3</f>
        <v>27.106666666666666</v>
      </c>
      <c r="C9" s="27">
        <f>SUMPRODUCT((UPAg_crops!$A$2:$A$951=$A9)*(((UPAg_crops!$B$2:$B$951="Rice")+(UPAg_crops!$B$2:$B$951="Sugarcane"))*(UPAg_crops!$C$2:$C$951="Total")+(UPAg_crops!$B$2:$B$951="Maize")*((UPAg_crops!$C$2:$C$951="Rabi")+(UPAg_crops!$C$2:$C$951="Summer")))*ISNUMBER(MATCH(UPAg_crops!$D$2:$D$951,{"2021-22","2022-23","2023-24"},0))*UPAg_crops!$E$2:$E$951)/3</f>
        <v>34.81</v>
      </c>
      <c r="D9" s="11">
        <f t="shared" si="0"/>
        <v>0.28418593212001975</v>
      </c>
      <c r="E9" s="28">
        <f>Groundwater!B9</f>
        <v>54.62</v>
      </c>
      <c r="F9" s="28">
        <f>Groundwater!F9</f>
        <v>52.99</v>
      </c>
      <c r="G9" s="29">
        <f t="shared" si="1"/>
        <v>-1.6299999999999955</v>
      </c>
      <c r="H9" s="30">
        <f>Groundwater!F22/Groundwater!B22-1</f>
        <v>1.041028781383968E-2</v>
      </c>
      <c r="I9" s="30">
        <f>Groundwater!F35/Groundwater!B35-1</f>
        <v>4.1806020066889715E-2</v>
      </c>
      <c r="J9" s="31">
        <v>0.16400000000000001</v>
      </c>
      <c r="K9" s="5">
        <f t="shared" si="2"/>
        <v>7</v>
      </c>
      <c r="L9" s="5">
        <f t="shared" si="3"/>
        <v>4</v>
      </c>
      <c r="M9" s="5">
        <f t="shared" si="4"/>
        <v>3</v>
      </c>
      <c r="N9" s="5">
        <f t="shared" si="5"/>
        <v>6</v>
      </c>
    </row>
    <row r="10" spans="1:14" x14ac:dyDescent="0.3">
      <c r="A10" s="5" t="s">
        <v>52</v>
      </c>
      <c r="B10" s="27">
        <f>SUMPRODUCT((UPAg_crops!$A$2:$A$951=$A10)*(((UPAg_crops!$B$2:$B$951="Rice")+(UPAg_crops!$B$2:$B$951="Sugarcane"))*(UPAg_crops!$C$2:$C$951="Total")+(UPAg_crops!$B$2:$B$951="Maize")*((UPAg_crops!$C$2:$C$951="Rabi")+(UPAg_crops!$C$2:$C$951="Summer")))*ISNUMBER(MATCH(UPAg_crops!$D$2:$D$951,{"2016-17","2017-18","2018-19"},0))*UPAg_crops!$E$2:$E$951)/3</f>
        <v>31.149999999999995</v>
      </c>
      <c r="C10" s="27">
        <f>SUMPRODUCT((UPAg_crops!$A$2:$A$951=$A10)*(((UPAg_crops!$B$2:$B$951="Rice")+(UPAg_crops!$B$2:$B$951="Sugarcane"))*(UPAg_crops!$C$2:$C$951="Total")+(UPAg_crops!$B$2:$B$951="Maize")*((UPAg_crops!$C$2:$C$951="Rabi")+(UPAg_crops!$C$2:$C$951="Summer")))*ISNUMBER(MATCH(UPAg_crops!$D$2:$D$951,{"2021-22","2022-23","2023-24"},0))*UPAg_crops!$E$2:$E$951)/3</f>
        <v>31.710000000000008</v>
      </c>
      <c r="D10" s="11">
        <f t="shared" si="0"/>
        <v>1.7977528089887951E-2</v>
      </c>
      <c r="E10" s="28">
        <f>Groundwater!B10</f>
        <v>165.77</v>
      </c>
      <c r="F10" s="28">
        <f>Groundwater!F10</f>
        <v>156.87</v>
      </c>
      <c r="G10" s="29">
        <f t="shared" si="1"/>
        <v>-8.9000000000000057</v>
      </c>
      <c r="H10" s="30">
        <f>Groundwater!F23/Groundwater!B23-1</f>
        <v>-0.22694242593627723</v>
      </c>
      <c r="I10" s="30">
        <f>Groundwater!F36/Groundwater!B36-1</f>
        <v>-0.18303985171455051</v>
      </c>
      <c r="J10" s="31">
        <v>-4.2000000000000003E-2</v>
      </c>
      <c r="K10" s="5">
        <f t="shared" si="2"/>
        <v>2</v>
      </c>
      <c r="L10" s="5">
        <f t="shared" si="3"/>
        <v>2</v>
      </c>
      <c r="M10" s="5">
        <f t="shared" si="4"/>
        <v>1</v>
      </c>
      <c r="N10" s="5">
        <f t="shared" si="5"/>
        <v>1</v>
      </c>
    </row>
    <row r="11" spans="1:14" x14ac:dyDescent="0.3">
      <c r="A11" s="5" t="s">
        <v>53</v>
      </c>
      <c r="B11" s="27">
        <f>SUMPRODUCT((UPAg_crops!$A$2:$A$951=$A11)*(((UPAg_crops!$B$2:$B$951="Rice")+(UPAg_crops!$B$2:$B$951="Sugarcane"))*(UPAg_crops!$C$2:$C$951="Total")+(UPAg_crops!$B$2:$B$951="Maize")*((UPAg_crops!$C$2:$C$951="Rabi")+(UPAg_crops!$C$2:$C$951="Summer")))*ISNUMBER(MATCH(UPAg_crops!$D$2:$D$951,{"2016-17","2017-18","2018-19"},0))*UPAg_crops!$E$2:$E$951)/3</f>
        <v>2.06</v>
      </c>
      <c r="C11" s="27">
        <f>SUMPRODUCT((UPAg_crops!$A$2:$A$951=$A11)*(((UPAg_crops!$B$2:$B$951="Rice")+(UPAg_crops!$B$2:$B$951="Sugarcane"))*(UPAg_crops!$C$2:$C$951="Total")+(UPAg_crops!$B$2:$B$951="Maize")*((UPAg_crops!$C$2:$C$951="Rabi")+(UPAg_crops!$C$2:$C$951="Summer")))*ISNUMBER(MATCH(UPAg_crops!$D$2:$D$951,{"2021-22","2022-23","2023-24"},0))*UPAg_crops!$E$2:$E$951)/3</f>
        <v>2.5366666666666666</v>
      </c>
      <c r="D11" s="11">
        <f t="shared" si="0"/>
        <v>0.23139158576051777</v>
      </c>
      <c r="E11" s="28">
        <f>Groundwater!B11</f>
        <v>139.88</v>
      </c>
      <c r="F11" s="28">
        <f>Groundwater!F11</f>
        <v>149.86000000000001</v>
      </c>
      <c r="G11" s="29">
        <f t="shared" si="1"/>
        <v>9.9800000000000182</v>
      </c>
      <c r="H11" s="30">
        <f>Groundwater!F24/Groundwater!B24-1</f>
        <v>1.6696481812760844E-2</v>
      </c>
      <c r="I11" s="30">
        <f>Groundwater!F37/Groundwater!B37-1</f>
        <v>-5.1709758131776584E-2</v>
      </c>
      <c r="J11" s="31">
        <v>0.19400000000000001</v>
      </c>
      <c r="K11" s="5">
        <f t="shared" si="2"/>
        <v>5</v>
      </c>
      <c r="L11" s="5">
        <f t="shared" si="3"/>
        <v>10</v>
      </c>
      <c r="M11" s="5">
        <f t="shared" si="4"/>
        <v>4</v>
      </c>
      <c r="N11" s="5">
        <f t="shared" si="5"/>
        <v>2</v>
      </c>
    </row>
    <row r="12" spans="1:14" x14ac:dyDescent="0.3">
      <c r="A12" s="5" t="s">
        <v>54</v>
      </c>
      <c r="B12" s="27">
        <f>SUMPRODUCT((UPAg_crops!$A$2:$A$951=$A12)*(((UPAg_crops!$B$2:$B$951="Rice")+(UPAg_crops!$B$2:$B$951="Sugarcane"))*(UPAg_crops!$C$2:$C$951="Total")+(UPAg_crops!$B$2:$B$951="Maize")*((UPAg_crops!$C$2:$C$951="Rabi")+(UPAg_crops!$C$2:$C$951="Summer")))*ISNUMBER(MATCH(UPAg_crops!$D$2:$D$951,{"2016-17","2017-18","2018-19"},0))*UPAg_crops!$E$2:$E$951)/3</f>
        <v>20.249999999999996</v>
      </c>
      <c r="C12" s="27">
        <f>SUMPRODUCT((UPAg_crops!$A$2:$A$951=$A12)*(((UPAg_crops!$B$2:$B$951="Rice")+(UPAg_crops!$B$2:$B$951="Sugarcane"))*(UPAg_crops!$C$2:$C$951="Total")+(UPAg_crops!$B$2:$B$951="Maize")*((UPAg_crops!$C$2:$C$951="Rabi")+(UPAg_crops!$C$2:$C$951="Summer")))*ISNUMBER(MATCH(UPAg_crops!$D$2:$D$951,{"2021-22","2022-23","2023-24"},0))*UPAg_crops!$E$2:$E$951)/3</f>
        <v>25.180000000000003</v>
      </c>
      <c r="D12" s="11">
        <f t="shared" si="0"/>
        <v>0.24345679012345722</v>
      </c>
      <c r="E12" s="28">
        <f>Groundwater!B12</f>
        <v>80.94</v>
      </c>
      <c r="F12" s="28">
        <f>Groundwater!F12</f>
        <v>74.260000000000005</v>
      </c>
      <c r="G12" s="29">
        <f t="shared" si="1"/>
        <v>-6.6799999999999926</v>
      </c>
      <c r="H12" s="30">
        <f>Groundwater!F25/Groundwater!B25-1</f>
        <v>-1.9008825526137252E-2</v>
      </c>
      <c r="I12" s="30">
        <f>Groundwater!F38/Groundwater!B38-1</f>
        <v>6.9230769230769429E-2</v>
      </c>
      <c r="J12" s="31">
        <v>0.19600000000000001</v>
      </c>
      <c r="K12" s="5">
        <f t="shared" si="2"/>
        <v>6</v>
      </c>
      <c r="L12" s="5">
        <f t="shared" si="3"/>
        <v>3</v>
      </c>
      <c r="M12" s="5">
        <f t="shared" si="4"/>
        <v>2</v>
      </c>
      <c r="N12" s="5">
        <f t="shared" si="5"/>
        <v>8</v>
      </c>
    </row>
    <row r="13" spans="1:14" x14ac:dyDescent="0.3">
      <c r="A13" s="5" t="s">
        <v>55</v>
      </c>
      <c r="B13" s="27">
        <f>SUMPRODUCT((UPAg_crops!$A$2:$A$951=$A13)*(((UPAg_crops!$B$2:$B$951="Rice")+(UPAg_crops!$B$2:$B$951="Sugarcane"))*(UPAg_crops!$C$2:$C$951="Total")+(UPAg_crops!$B$2:$B$951="Maize")*((UPAg_crops!$C$2:$C$951="Rabi")+(UPAg_crops!$C$2:$C$951="Summer")))*ISNUMBER(MATCH(UPAg_crops!$D$2:$D$951,{"2016-17","2017-18","2018-19"},0))*UPAg_crops!$E$2:$E$951)/3</f>
        <v>20.433333333333334</v>
      </c>
      <c r="C13" s="27">
        <f>SUMPRODUCT((UPAg_crops!$A$2:$A$951=$A13)*(((UPAg_crops!$B$2:$B$951="Rice")+(UPAg_crops!$B$2:$B$951="Sugarcane"))*(UPAg_crops!$C$2:$C$951="Total")+(UPAg_crops!$B$2:$B$951="Maize")*((UPAg_crops!$C$2:$C$951="Rabi")+(UPAg_crops!$C$2:$C$951="Summer")))*ISNUMBER(MATCH(UPAg_crops!$D$2:$D$951,{"2021-22","2022-23","2023-24"},0))*UPAg_crops!$E$2:$E$951)/3</f>
        <v>45.82</v>
      </c>
      <c r="D13" s="11">
        <f t="shared" si="0"/>
        <v>1.2424143556280587</v>
      </c>
      <c r="E13" s="28">
        <f>Groundwater!B13</f>
        <v>65.45</v>
      </c>
      <c r="F13" s="28">
        <f>Groundwater!F13</f>
        <v>45.91</v>
      </c>
      <c r="G13" s="29">
        <f t="shared" si="1"/>
        <v>-19.540000000000006</v>
      </c>
      <c r="H13" s="30">
        <f>Groundwater!F26/Groundwater!B26-1</f>
        <v>4.6971569839307836E-2</v>
      </c>
      <c r="I13" s="30">
        <f>Groundwater!F39/Groundwater!B39-1</f>
        <v>0.49070331447049331</v>
      </c>
      <c r="J13" s="31">
        <v>0.26800000000000002</v>
      </c>
      <c r="K13" s="5">
        <f t="shared" si="2"/>
        <v>10</v>
      </c>
      <c r="L13" s="5">
        <f t="shared" si="3"/>
        <v>1</v>
      </c>
      <c r="M13" s="5">
        <f t="shared" si="4"/>
        <v>7</v>
      </c>
      <c r="N13" s="5">
        <f t="shared" si="5"/>
        <v>10</v>
      </c>
    </row>
    <row r="14" spans="1:14" x14ac:dyDescent="0.3">
      <c r="A14" s="5" t="s">
        <v>56</v>
      </c>
      <c r="B14" s="27">
        <f>SUMPRODUCT((UPAg_crops!$A$2:$A$951=$A14)*(((UPAg_crops!$B$2:$B$951="Rice")+(UPAg_crops!$B$2:$B$951="Sugarcane"))*(UPAg_crops!$C$2:$C$951="Total")+(UPAg_crops!$B$2:$B$951="Maize")*((UPAg_crops!$C$2:$C$951="Rabi")+(UPAg_crops!$C$2:$C$951="Summer")))*ISNUMBER(MATCH(UPAg_crops!$D$2:$D$951,{"2016-17","2017-18","2018-19"},0))*UPAg_crops!$E$2:$E$951)/3</f>
        <v>81.010000000000005</v>
      </c>
      <c r="C14" s="27">
        <f>SUMPRODUCT((UPAg_crops!$A$2:$A$951=$A14)*(((UPAg_crops!$B$2:$B$951="Rice")+(UPAg_crops!$B$2:$B$951="Sugarcane"))*(UPAg_crops!$C$2:$C$951="Total")+(UPAg_crops!$B$2:$B$951="Maize")*((UPAg_crops!$C$2:$C$951="Rabi")+(UPAg_crops!$C$2:$C$951="Summer")))*ISNUMBER(MATCH(UPAg_crops!$D$2:$D$951,{"2021-22","2022-23","2023-24"},0))*UPAg_crops!$E$2:$E$951)/3</f>
        <v>84.583333333333329</v>
      </c>
      <c r="D14" s="11">
        <f t="shared" si="0"/>
        <v>4.4109780685511968E-2</v>
      </c>
      <c r="E14" s="28">
        <f>Groundwater!B14</f>
        <v>70.180000000000007</v>
      </c>
      <c r="F14" s="28">
        <f>Groundwater!F14</f>
        <v>70.45</v>
      </c>
      <c r="G14" s="29">
        <f t="shared" si="1"/>
        <v>0.26999999999999602</v>
      </c>
      <c r="H14" s="30">
        <f>Groundwater!F27/Groundwater!B27-1</f>
        <v>2.0069808027923131E-2</v>
      </c>
      <c r="I14" s="30">
        <f>Groundwater!F40/Groundwater!B40-1</f>
        <v>1.622780159216175E-2</v>
      </c>
      <c r="J14" s="31">
        <v>-0.14199999999999999</v>
      </c>
      <c r="K14" s="5">
        <f t="shared" si="2"/>
        <v>4</v>
      </c>
      <c r="L14" s="5">
        <f t="shared" si="3"/>
        <v>8</v>
      </c>
      <c r="M14" s="5">
        <f t="shared" si="4"/>
        <v>6</v>
      </c>
      <c r="N14" s="5">
        <f t="shared" si="5"/>
        <v>4</v>
      </c>
    </row>
    <row r="16" spans="1:14" x14ac:dyDescent="0.3">
      <c r="A16" s="10" t="s">
        <v>579</v>
      </c>
      <c r="D16" s="32">
        <f>CORREL(K5:K14,L5:L14)</f>
        <v>-0.22424242424242424</v>
      </c>
    </row>
    <row r="17" spans="1:4" x14ac:dyDescent="0.3">
      <c r="A17" s="10" t="s">
        <v>580</v>
      </c>
      <c r="D17" s="32">
        <f>CORREL(K5:K14,M5:M14)</f>
        <v>0.29696969696969699</v>
      </c>
    </row>
    <row r="18" spans="1:4" x14ac:dyDescent="0.3">
      <c r="A18" s="10" t="s">
        <v>581</v>
      </c>
      <c r="D18" s="32">
        <f>CORREL(K5:K14,N5:N14)</f>
        <v>0.51515151515151514</v>
      </c>
    </row>
    <row r="20" spans="1:4" x14ac:dyDescent="0.3">
      <c r="A20" s="7" t="s">
        <v>582</v>
      </c>
    </row>
    <row r="21" spans="1:4" x14ac:dyDescent="0.3">
      <c r="A21" s="7" t="s">
        <v>583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6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3" customWidth="1"/>
    <col min="3" max="3" width="30" customWidth="1"/>
    <col min="4" max="14" width="13" customWidth="1"/>
  </cols>
  <sheetData>
    <row r="1" spans="1:14" ht="16.8" x14ac:dyDescent="0.3">
      <c r="A1" s="8" t="s">
        <v>584</v>
      </c>
    </row>
    <row r="2" spans="1:14" x14ac:dyDescent="0.3">
      <c r="A2" s="9" t="s">
        <v>585</v>
      </c>
    </row>
    <row r="4" spans="1:14" x14ac:dyDescent="0.3">
      <c r="A4" s="10" t="s">
        <v>586</v>
      </c>
    </row>
    <row r="5" spans="1:14" x14ac:dyDescent="0.3">
      <c r="A5" s="5" t="s">
        <v>27</v>
      </c>
      <c r="B5" s="23">
        <v>4670</v>
      </c>
      <c r="C5" s="5" t="s">
        <v>587</v>
      </c>
    </row>
    <row r="6" spans="1:14" x14ac:dyDescent="0.3">
      <c r="A6" s="5" t="s">
        <v>542</v>
      </c>
      <c r="B6" s="23">
        <v>10790</v>
      </c>
      <c r="C6" s="5" t="s">
        <v>588</v>
      </c>
    </row>
    <row r="7" spans="1:14" x14ac:dyDescent="0.3">
      <c r="A7" s="5" t="s">
        <v>589</v>
      </c>
      <c r="B7" s="23">
        <v>2000</v>
      </c>
      <c r="C7" s="5" t="s">
        <v>590</v>
      </c>
    </row>
    <row r="8" spans="1:14" x14ac:dyDescent="0.3">
      <c r="A8" s="5" t="s">
        <v>591</v>
      </c>
      <c r="B8" s="23">
        <v>3630</v>
      </c>
      <c r="C8" s="5" t="s">
        <v>587</v>
      </c>
    </row>
    <row r="9" spans="1:14" x14ac:dyDescent="0.3">
      <c r="A9" s="5" t="s">
        <v>592</v>
      </c>
      <c r="B9" s="23">
        <v>245.64599999999999</v>
      </c>
      <c r="C9" s="5" t="s">
        <v>593</v>
      </c>
    </row>
    <row r="11" spans="1:14" ht="26.4" x14ac:dyDescent="0.3">
      <c r="A11" s="4" t="s">
        <v>23</v>
      </c>
      <c r="B11" s="4" t="s">
        <v>594</v>
      </c>
      <c r="C11" s="4" t="s">
        <v>595</v>
      </c>
      <c r="D11" s="4" t="s">
        <v>596</v>
      </c>
      <c r="E11" s="4" t="s">
        <v>597</v>
      </c>
      <c r="F11" s="4" t="s">
        <v>598</v>
      </c>
      <c r="G11" s="4" t="s">
        <v>599</v>
      </c>
      <c r="H11" s="4" t="s">
        <v>600</v>
      </c>
      <c r="I11" s="4" t="s">
        <v>601</v>
      </c>
      <c r="J11" s="4" t="s">
        <v>602</v>
      </c>
      <c r="K11" s="4" t="s">
        <v>603</v>
      </c>
      <c r="L11" s="4" t="s">
        <v>604</v>
      </c>
      <c r="M11" s="4" t="s">
        <v>605</v>
      </c>
      <c r="N11" s="4" t="s">
        <v>606</v>
      </c>
    </row>
    <row r="12" spans="1:14" x14ac:dyDescent="0.3">
      <c r="A12" s="5" t="s">
        <v>36</v>
      </c>
      <c r="B12" s="23">
        <v>286.47000000000003</v>
      </c>
      <c r="C12" s="23">
        <v>286.47000000000003</v>
      </c>
      <c r="D12" s="23">
        <v>115.62</v>
      </c>
      <c r="E12" s="23">
        <v>115.62</v>
      </c>
      <c r="F12" s="23">
        <v>270.27</v>
      </c>
      <c r="G12" s="27">
        <f>(B12*$B$5+D12*$B$6+F12*$B$7)*10000000/1000000000000</f>
        <v>31.258946999999999</v>
      </c>
      <c r="H12" s="27">
        <f>(C12*$B$5+E12*$B$6+F12*$B$8)*10000000/1000000000000</f>
        <v>35.664347999999997</v>
      </c>
      <c r="I12" s="17">
        <f>G12/$B$9</f>
        <v>0.1272520089885445</v>
      </c>
      <c r="J12" s="17">
        <f>H12/$B$9</f>
        <v>0.1451859505141545</v>
      </c>
      <c r="K12" s="27">
        <f>B12*$B$5*10000000/1000000000000</f>
        <v>13.378149000000002</v>
      </c>
      <c r="L12" s="27">
        <f>(C12*$B$5+F12*$B$8)*10000000/1000000000000</f>
        <v>23.188949999999998</v>
      </c>
      <c r="M12" s="17">
        <f>K12/$B$9</f>
        <v>5.4461090349527383E-2</v>
      </c>
      <c r="N12" s="17">
        <f>L12/$B$9</f>
        <v>9.4399868102879758E-2</v>
      </c>
    </row>
    <row r="13" spans="1:14" x14ac:dyDescent="0.3">
      <c r="A13" s="5" t="s">
        <v>37</v>
      </c>
      <c r="B13" s="23">
        <f>0.48*1039</f>
        <v>498.71999999999997</v>
      </c>
      <c r="C13" s="23">
        <f>0.51*1039</f>
        <v>529.89</v>
      </c>
      <c r="D13" s="23">
        <f>718-0.51*1039</f>
        <v>188.11</v>
      </c>
      <c r="E13" s="23">
        <f>718-0.48*1039</f>
        <v>219.28000000000003</v>
      </c>
      <c r="F13" s="23">
        <v>321</v>
      </c>
      <c r="G13" s="27">
        <f>(B13*$B$5+D13*$B$6+F13*$B$7)*10000000/1000000000000</f>
        <v>50.007292999999997</v>
      </c>
      <c r="H13" s="27">
        <f>(C13*$B$5+E13*$B$6+F13*$B$8)*10000000/1000000000000</f>
        <v>60.058475000000001</v>
      </c>
      <c r="I13" s="17">
        <f>G13/$B$9</f>
        <v>0.20357462771630722</v>
      </c>
      <c r="J13" s="17">
        <f>H13/$B$9</f>
        <v>0.24449197218761959</v>
      </c>
      <c r="K13" s="27">
        <f>B13*$B$5*10000000/1000000000000</f>
        <v>23.290223999999998</v>
      </c>
      <c r="L13" s="27">
        <f>(C13*$B$5+F13*$B$8)*10000000/1000000000000</f>
        <v>36.398162999999997</v>
      </c>
      <c r="M13" s="17">
        <f>K13/$B$9</f>
        <v>9.4812144305219712E-2</v>
      </c>
      <c r="N13" s="17">
        <f>L13/$B$9</f>
        <v>0.14817323709728633</v>
      </c>
    </row>
    <row r="15" spans="1:14" x14ac:dyDescent="0.3">
      <c r="A15" s="7" t="s">
        <v>607</v>
      </c>
    </row>
    <row r="16" spans="1:14" x14ac:dyDescent="0.3">
      <c r="A16" s="7" t="s">
        <v>608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61"/>
  <sheetViews>
    <sheetView zoomScaleNormal="100" workbookViewId="0"/>
  </sheetViews>
  <sheetFormatPr defaultColWidth="8.6640625" defaultRowHeight="14.4" x14ac:dyDescent="0.3"/>
  <cols>
    <col min="1" max="1" width="52" customWidth="1"/>
    <col min="2" max="3" width="13" customWidth="1"/>
    <col min="4" max="4" width="14" customWidth="1"/>
    <col min="5" max="5" width="80" customWidth="1"/>
  </cols>
  <sheetData>
    <row r="1" spans="1:5" ht="16.8" x14ac:dyDescent="0.3">
      <c r="A1" s="8" t="s">
        <v>609</v>
      </c>
    </row>
    <row r="2" spans="1:5" x14ac:dyDescent="0.3">
      <c r="A2" s="9" t="s">
        <v>610</v>
      </c>
    </row>
    <row r="4" spans="1:5" x14ac:dyDescent="0.3">
      <c r="A4" s="4" t="s">
        <v>611</v>
      </c>
      <c r="B4" s="4" t="s">
        <v>612</v>
      </c>
      <c r="C4" s="4" t="s">
        <v>613</v>
      </c>
      <c r="D4" s="4" t="s">
        <v>157</v>
      </c>
      <c r="E4" s="4" t="s">
        <v>140</v>
      </c>
    </row>
    <row r="5" spans="1:5" x14ac:dyDescent="0.3">
      <c r="A5" s="5" t="s">
        <v>614</v>
      </c>
      <c r="B5" s="20">
        <f>(SUMIFS(UPAg_crops!$E$2:$E$951,UPAg_crops!$A$2:$A$951,"All India",UPAg_crops!$B$2:$B$951,"Maize",UPAg_crops!$C$2:$C$951,"Rabi",UPAg_crops!$D$2:$D$951,"2016-17")+SUMIFS(UPAg_crops!$E$2:$E$951,UPAg_crops!$A$2:$A$951,"All India",UPAg_crops!$B$2:$B$951,"Maize",UPAg_crops!$C$2:$C$951,"Rabi",UPAg_crops!$D$2:$D$951,"2017-18")+SUMIFS(UPAg_crops!$E$2:$E$951,UPAg_crops!$A$2:$A$951,"All India",UPAg_crops!$B$2:$B$951,"Maize",UPAg_crops!$C$2:$C$951,"Rabi",UPAg_crops!$D$2:$D$951,"2018-19")+SUMIFS(UPAg_crops!$E$2:$E$951,UPAg_crops!$A$2:$A$951,"All India",UPAg_crops!$B$2:$B$951,"Maize",UPAg_crops!$C$2:$C$951,"Summer",UPAg_crops!$D$2:$D$951,"2016-17")+SUMIFS(UPAg_crops!$E$2:$E$951,UPAg_crops!$A$2:$A$951,"All India",UPAg_crops!$B$2:$B$951,"Maize",UPAg_crops!$C$2:$C$951,"Summer",UPAg_crops!$D$2:$D$951,"2017-18")+SUMIFS(UPAg_crops!$E$2:$E$951,UPAg_crops!$A$2:$A$951,"All India",UPAg_crops!$B$2:$B$951,"Maize",UPAg_crops!$C$2:$C$951,"Summer",UPAg_crops!$D$2:$D$951,"2018-19"))/3</f>
        <v>18.116666666666667</v>
      </c>
      <c r="C5" s="20">
        <f>B5</f>
        <v>18.116666666666667</v>
      </c>
      <c r="D5" s="5" t="s">
        <v>615</v>
      </c>
      <c r="E5" s="5" t="s">
        <v>616</v>
      </c>
    </row>
    <row r="6" spans="1:5" x14ac:dyDescent="0.3">
      <c r="A6" s="5" t="s">
        <v>617</v>
      </c>
      <c r="B6" s="20">
        <f>(SUMIFS(UPAg_crops!$E$2:$E$951,UPAg_crops!$A$2:$A$951,"All India",UPAg_crops!$B$2:$B$951,"Maize",UPAg_crops!$C$2:$C$951,"Rabi",UPAg_crops!$D$2:$D$951,"2022-23")+SUMIFS(UPAg_crops!$E$2:$E$951,UPAg_crops!$A$2:$A$951,"All India",UPAg_crops!$B$2:$B$951,"Maize",UPAg_crops!$C$2:$C$951,"Rabi",UPAg_crops!$D$2:$D$951,"2023-24")+SUMIFS(UPAg_crops!$E$2:$E$951,UPAg_crops!$A$2:$A$951,"All India",UPAg_crops!$B$2:$B$951,"Maize",UPAg_crops!$C$2:$C$951,"Rabi",UPAg_crops!$D$2:$D$951,"2024-25")+SUMIFS(UPAg_crops!$E$2:$E$951,UPAg_crops!$A$2:$A$951,"All India",UPAg_crops!$B$2:$B$951,"Maize",UPAg_crops!$C$2:$C$951,"Summer",UPAg_crops!$D$2:$D$951,"2022-23")+SUMIFS(UPAg_crops!$E$2:$E$951,UPAg_crops!$A$2:$A$951,"All India",UPAg_crops!$B$2:$B$951,"Maize",UPAg_crops!$C$2:$C$951,"Summer",UPAg_crops!$D$2:$D$951,"2023-24")+SUMIFS(UPAg_crops!$E$2:$E$951,UPAg_crops!$A$2:$A$951,"All India",UPAg_crops!$B$2:$B$951,"Maize",UPAg_crops!$C$2:$C$951,"Summer",UPAg_crops!$D$2:$D$951,"2024-25"))/3</f>
        <v>30.776666666666667</v>
      </c>
      <c r="C6" s="20">
        <f>B6</f>
        <v>30.776666666666667</v>
      </c>
      <c r="D6" s="5" t="s">
        <v>615</v>
      </c>
      <c r="E6" s="5" t="s">
        <v>300</v>
      </c>
    </row>
    <row r="7" spans="1:5" x14ac:dyDescent="0.3">
      <c r="A7" s="5" t="s">
        <v>618</v>
      </c>
      <c r="B7" s="33">
        <v>300</v>
      </c>
      <c r="C7" s="33">
        <v>700</v>
      </c>
      <c r="D7" s="5" t="s">
        <v>619</v>
      </c>
      <c r="E7" s="5" t="s">
        <v>620</v>
      </c>
    </row>
    <row r="8" spans="1:5" x14ac:dyDescent="0.3">
      <c r="A8" s="5" t="s">
        <v>621</v>
      </c>
      <c r="B8" s="33">
        <v>0.61</v>
      </c>
      <c r="C8" s="33">
        <v>1</v>
      </c>
      <c r="D8" s="5" t="s">
        <v>622</v>
      </c>
      <c r="E8" s="5" t="s">
        <v>623</v>
      </c>
    </row>
    <row r="9" spans="1:5" x14ac:dyDescent="0.3">
      <c r="A9" s="5" t="s">
        <v>624</v>
      </c>
      <c r="B9" s="20">
        <f>SUMIFS(UPAg_crops!$F$2:$F$951,UPAg_crops!$A$2:$A$951,"All India",UPAg_crops!$B$2:$B$951,"Maize",UPAg_crops!$C$2:$C$951,"Rabi",UPAg_crops!$D$2:$D$951,"2024-25")/(SUMIFS(UPAg_crops!$E$2:$E$951,UPAg_crops!$A$2:$A$951,"All India",UPAg_crops!$B$2:$B$951,"Maize",UPAg_crops!$C$2:$C$951,"Rabi",UPAg_crops!$D$2:$D$951,"2024-25"))</f>
        <v>5.3068345323741006</v>
      </c>
      <c r="C9" s="20">
        <f>B9</f>
        <v>5.3068345323741006</v>
      </c>
      <c r="D9" s="5" t="s">
        <v>625</v>
      </c>
      <c r="E9" s="5" t="s">
        <v>300</v>
      </c>
    </row>
    <row r="10" spans="1:5" x14ac:dyDescent="0.3">
      <c r="A10" s="5" t="s">
        <v>626</v>
      </c>
      <c r="B10" s="20">
        <f>SUMIFS(UPAg_crops!$F$2:$F$951,UPAg_crops!$A$2:$A$951,"All India",UPAg_crops!$B$2:$B$951,"Maize",UPAg_crops!$C$2:$C$951,"Summer",UPAg_crops!$D$2:$D$951,"2024-25")/(SUMIFS(UPAg_crops!$E$2:$E$951,UPAg_crops!$A$2:$A$951,"All India",UPAg_crops!$B$2:$B$951,"Maize",UPAg_crops!$C$2:$C$951,"Summer",UPAg_crops!$D$2:$D$951,"2024-25"))</f>
        <v>4.525882352941176</v>
      </c>
      <c r="C10" s="20">
        <f>B10</f>
        <v>4.525882352941176</v>
      </c>
      <c r="D10" s="5" t="s">
        <v>625</v>
      </c>
      <c r="E10" s="5" t="s">
        <v>300</v>
      </c>
    </row>
    <row r="11" spans="1:5" x14ac:dyDescent="0.3">
      <c r="A11" s="5" t="s">
        <v>627</v>
      </c>
      <c r="B11" s="33">
        <v>380</v>
      </c>
      <c r="C11" s="33">
        <v>400</v>
      </c>
      <c r="D11" s="5" t="s">
        <v>229</v>
      </c>
      <c r="E11" s="5" t="s">
        <v>628</v>
      </c>
    </row>
    <row r="12" spans="1:5" x14ac:dyDescent="0.3">
      <c r="A12" s="5" t="s">
        <v>629</v>
      </c>
      <c r="B12" s="33">
        <v>8275</v>
      </c>
      <c r="C12" s="20">
        <f t="shared" ref="C12:C24" si="0">B12</f>
        <v>8275</v>
      </c>
      <c r="D12" s="5" t="s">
        <v>197</v>
      </c>
      <c r="E12" s="5" t="s">
        <v>630</v>
      </c>
    </row>
    <row r="13" spans="1:5" x14ac:dyDescent="0.3">
      <c r="A13" s="5" t="s">
        <v>631</v>
      </c>
      <c r="B13" s="33">
        <v>33.85</v>
      </c>
      <c r="C13" s="20">
        <f t="shared" si="0"/>
        <v>33.85</v>
      </c>
      <c r="D13" s="5" t="s">
        <v>632</v>
      </c>
      <c r="E13" s="5" t="s">
        <v>593</v>
      </c>
    </row>
    <row r="14" spans="1:5" x14ac:dyDescent="0.3">
      <c r="A14" s="5" t="s">
        <v>633</v>
      </c>
      <c r="B14" s="33">
        <v>113007</v>
      </c>
      <c r="C14" s="20">
        <f t="shared" si="0"/>
        <v>113007</v>
      </c>
      <c r="D14" s="5" t="s">
        <v>197</v>
      </c>
      <c r="E14" s="5" t="s">
        <v>634</v>
      </c>
    </row>
    <row r="15" spans="1:5" x14ac:dyDescent="0.3">
      <c r="A15" s="5" t="s">
        <v>635</v>
      </c>
      <c r="B15" s="33">
        <v>155000</v>
      </c>
      <c r="C15" s="20">
        <f t="shared" si="0"/>
        <v>155000</v>
      </c>
      <c r="D15" s="5" t="s">
        <v>197</v>
      </c>
      <c r="E15" s="5" t="s">
        <v>468</v>
      </c>
    </row>
    <row r="16" spans="1:5" x14ac:dyDescent="0.3">
      <c r="A16" s="5" t="s">
        <v>636</v>
      </c>
      <c r="B16" s="33">
        <v>193</v>
      </c>
      <c r="C16" s="20">
        <f t="shared" si="0"/>
        <v>193</v>
      </c>
      <c r="D16" s="5" t="s">
        <v>205</v>
      </c>
      <c r="E16" s="5" t="s">
        <v>637</v>
      </c>
    </row>
    <row r="17" spans="1:5" x14ac:dyDescent="0.3">
      <c r="A17" s="5" t="s">
        <v>638</v>
      </c>
      <c r="B17" s="33">
        <v>260</v>
      </c>
      <c r="C17" s="20">
        <f t="shared" si="0"/>
        <v>260</v>
      </c>
      <c r="D17" s="5" t="s">
        <v>205</v>
      </c>
      <c r="E17" s="5" t="s">
        <v>639</v>
      </c>
    </row>
    <row r="18" spans="1:5" x14ac:dyDescent="0.3">
      <c r="A18" s="5" t="s">
        <v>640</v>
      </c>
      <c r="B18" s="33">
        <v>790</v>
      </c>
      <c r="C18" s="20">
        <f t="shared" si="0"/>
        <v>790</v>
      </c>
      <c r="D18" s="5" t="s">
        <v>205</v>
      </c>
      <c r="E18" s="5" t="s">
        <v>639</v>
      </c>
    </row>
    <row r="19" spans="1:5" x14ac:dyDescent="0.3">
      <c r="A19" s="5" t="s">
        <v>641</v>
      </c>
      <c r="B19" s="33">
        <v>1022.4</v>
      </c>
      <c r="C19" s="20">
        <f t="shared" si="0"/>
        <v>1022.4</v>
      </c>
      <c r="D19" s="5" t="s">
        <v>159</v>
      </c>
      <c r="E19" s="5" t="s">
        <v>642</v>
      </c>
    </row>
    <row r="20" spans="1:5" x14ac:dyDescent="0.3">
      <c r="A20" s="5" t="s">
        <v>643</v>
      </c>
      <c r="B20" s="33">
        <v>71.86</v>
      </c>
      <c r="C20" s="20">
        <f t="shared" si="0"/>
        <v>71.86</v>
      </c>
      <c r="D20" s="5" t="s">
        <v>180</v>
      </c>
      <c r="E20" s="5" t="s">
        <v>644</v>
      </c>
    </row>
    <row r="21" spans="1:5" x14ac:dyDescent="0.3">
      <c r="A21" s="5" t="s">
        <v>645</v>
      </c>
      <c r="B21" s="33">
        <v>417</v>
      </c>
      <c r="C21" s="20">
        <f t="shared" si="0"/>
        <v>417</v>
      </c>
      <c r="D21" s="5" t="s">
        <v>237</v>
      </c>
      <c r="E21" s="5" t="s">
        <v>646</v>
      </c>
    </row>
    <row r="22" spans="1:5" x14ac:dyDescent="0.3">
      <c r="A22" s="5" t="s">
        <v>647</v>
      </c>
      <c r="B22" s="33">
        <v>245.64599999999999</v>
      </c>
      <c r="C22" s="20">
        <f t="shared" si="0"/>
        <v>245.64599999999999</v>
      </c>
      <c r="D22" s="5" t="s">
        <v>632</v>
      </c>
      <c r="E22" s="5" t="s">
        <v>593</v>
      </c>
    </row>
    <row r="23" spans="1:5" x14ac:dyDescent="0.3">
      <c r="A23" s="5" t="s">
        <v>648</v>
      </c>
      <c r="B23" s="20">
        <f>SUMIFS(UPAg_crops!$E$2:$E$951,UPAg_crops!$A$2:$A$951,"All India",UPAg_crops!$B$2:$B$951,"Maize",UPAg_crops!$C$2:$C$951,"Summer",UPAg_crops!$D$2:$D$951,"2024-25")</f>
        <v>8.5</v>
      </c>
      <c r="C23" s="20">
        <f t="shared" si="0"/>
        <v>8.5</v>
      </c>
      <c r="D23" s="5" t="s">
        <v>615</v>
      </c>
      <c r="E23" s="5" t="s">
        <v>300</v>
      </c>
    </row>
    <row r="24" spans="1:5" x14ac:dyDescent="0.3">
      <c r="A24" s="5" t="s">
        <v>649</v>
      </c>
      <c r="B24" s="20">
        <f>SUMIFS(UPAg_crops!$F$2:$F$951,UPAg_crops!$A$2:$A$951,"All India",UPAg_crops!$B$2:$B$951,"Maize",UPAg_crops!$C$2:$C$951,"Summer",UPAg_crops!$D$2:$D$951,"2024-25")</f>
        <v>38.47</v>
      </c>
      <c r="C24" s="20">
        <f t="shared" si="0"/>
        <v>38.47</v>
      </c>
      <c r="D24" s="5" t="s">
        <v>205</v>
      </c>
      <c r="E24" s="5" t="s">
        <v>300</v>
      </c>
    </row>
    <row r="26" spans="1:5" x14ac:dyDescent="0.3">
      <c r="A26" s="4" t="s">
        <v>650</v>
      </c>
      <c r="B26" s="4" t="s">
        <v>612</v>
      </c>
      <c r="C26" s="4" t="s">
        <v>613</v>
      </c>
      <c r="D26" s="4" t="s">
        <v>157</v>
      </c>
      <c r="E26" s="4" t="s">
        <v>651</v>
      </c>
    </row>
    <row r="27" spans="1:5" x14ac:dyDescent="0.3">
      <c r="A27" s="5" t="s">
        <v>652</v>
      </c>
      <c r="B27" s="20">
        <f>B6-B5</f>
        <v>12.66</v>
      </c>
      <c r="C27" s="20">
        <f>B27</f>
        <v>12.66</v>
      </c>
      <c r="D27" s="5" t="s">
        <v>615</v>
      </c>
      <c r="E27" s="5" t="s">
        <v>653</v>
      </c>
    </row>
    <row r="28" spans="1:5" x14ac:dyDescent="0.3">
      <c r="A28" s="5" t="s">
        <v>654</v>
      </c>
      <c r="B28" s="20">
        <f>B27*100000*B7*10/1000000000</f>
        <v>3.798</v>
      </c>
      <c r="C28" s="20">
        <f>C27*100000*C7*10/1000000000</f>
        <v>8.8620000000000001</v>
      </c>
      <c r="D28" s="5" t="s">
        <v>655</v>
      </c>
      <c r="E28" s="5" t="s">
        <v>656</v>
      </c>
    </row>
    <row r="29" spans="1:5" x14ac:dyDescent="0.3">
      <c r="A29" s="5" t="s">
        <v>657</v>
      </c>
      <c r="B29" s="20">
        <f>B28*B8</f>
        <v>2.3167800000000001</v>
      </c>
      <c r="C29" s="20">
        <f>C28*C8</f>
        <v>8.8620000000000001</v>
      </c>
      <c r="D29" s="5" t="s">
        <v>655</v>
      </c>
      <c r="E29" s="5" t="s">
        <v>658</v>
      </c>
    </row>
    <row r="30" spans="1:5" x14ac:dyDescent="0.3">
      <c r="A30" s="5" t="s">
        <v>659</v>
      </c>
      <c r="B30" s="17">
        <f>B29/B22</f>
        <v>9.4313768593830161E-3</v>
      </c>
      <c r="C30" s="17">
        <f>C29/B22</f>
        <v>3.6076304926601695E-2</v>
      </c>
      <c r="D30" s="5" t="s">
        <v>166</v>
      </c>
      <c r="E30" s="5"/>
    </row>
    <row r="31" spans="1:5" x14ac:dyDescent="0.3">
      <c r="A31" s="5" t="s">
        <v>660</v>
      </c>
      <c r="B31" s="20">
        <f>B7*10/B9/C11*B8</f>
        <v>0.86209584491289903</v>
      </c>
      <c r="C31" s="20">
        <f>C7*10/B10/B11*C8</f>
        <v>4.0701571969956092</v>
      </c>
      <c r="D31" s="5" t="s">
        <v>661</v>
      </c>
      <c r="E31" s="5" t="s">
        <v>662</v>
      </c>
    </row>
    <row r="32" spans="1:5" x14ac:dyDescent="0.3">
      <c r="A32" s="5" t="s">
        <v>663</v>
      </c>
      <c r="B32" s="20">
        <f>B12*10000000/(B13*1000000000)</f>
        <v>2.4446085672082716</v>
      </c>
      <c r="C32" s="20">
        <f>B32</f>
        <v>2.4446085672082716</v>
      </c>
      <c r="D32" s="5" t="s">
        <v>664</v>
      </c>
      <c r="E32" s="5" t="s">
        <v>665</v>
      </c>
    </row>
    <row r="33" spans="1:5" x14ac:dyDescent="0.3">
      <c r="A33" s="5" t="s">
        <v>666</v>
      </c>
      <c r="B33" s="20">
        <f>B31*B32</f>
        <v>2.1074868882287263</v>
      </c>
      <c r="C33" s="20">
        <f>C31*C32</f>
        <v>9.9499411536598714</v>
      </c>
      <c r="D33" s="5" t="s">
        <v>180</v>
      </c>
      <c r="E33" s="5" t="s">
        <v>667</v>
      </c>
    </row>
    <row r="34" spans="1:5" x14ac:dyDescent="0.3">
      <c r="A34" s="5" t="s">
        <v>668</v>
      </c>
      <c r="B34" s="17">
        <f>B33/B20</f>
        <v>2.932767726452444E-2</v>
      </c>
      <c r="C34" s="17">
        <f>C33/B20</f>
        <v>0.13846286047397538</v>
      </c>
      <c r="D34" s="5" t="s">
        <v>166</v>
      </c>
      <c r="E34" s="5"/>
    </row>
    <row r="35" spans="1:5" x14ac:dyDescent="0.3">
      <c r="A35" s="5" t="s">
        <v>669</v>
      </c>
      <c r="B35" s="20">
        <f>(B15-B14)/B19</f>
        <v>41.07296557120501</v>
      </c>
      <c r="C35" s="20">
        <f>B35</f>
        <v>41.07296557120501</v>
      </c>
      <c r="D35" s="5" t="s">
        <v>180</v>
      </c>
      <c r="E35" s="5" t="s">
        <v>670</v>
      </c>
    </row>
    <row r="36" spans="1:5" x14ac:dyDescent="0.3">
      <c r="A36" s="5" t="s">
        <v>671</v>
      </c>
      <c r="B36" s="20">
        <f>(B17-B16)*100000*1000/(B19*10000000)*B18/B17</f>
        <v>1.9911670879980738</v>
      </c>
      <c r="C36" s="20">
        <f>B36</f>
        <v>1.9911670879980738</v>
      </c>
      <c r="D36" s="5" t="s">
        <v>672</v>
      </c>
      <c r="E36" s="5" t="s">
        <v>673</v>
      </c>
    </row>
    <row r="37" spans="1:5" x14ac:dyDescent="0.3">
      <c r="A37" s="5" t="s">
        <v>674</v>
      </c>
      <c r="B37" s="20">
        <f>B36/1000*B21</f>
        <v>0.83031667569519685</v>
      </c>
      <c r="C37" s="20">
        <f>C36/1000*B21</f>
        <v>0.83031667569519685</v>
      </c>
      <c r="D37" s="5" t="s">
        <v>675</v>
      </c>
      <c r="E37" s="5" t="s">
        <v>676</v>
      </c>
    </row>
    <row r="38" spans="1:5" x14ac:dyDescent="0.3">
      <c r="A38" s="5" t="s">
        <v>677</v>
      </c>
      <c r="B38" s="20">
        <f>B23*100000*C7*10/1000000000*B8</f>
        <v>3.6295000000000002</v>
      </c>
      <c r="C38" s="20">
        <f>B23*100000*C7*10/1000000000*C8</f>
        <v>5.95</v>
      </c>
      <c r="D38" s="5" t="s">
        <v>655</v>
      </c>
      <c r="E38" s="5" t="s">
        <v>678</v>
      </c>
    </row>
    <row r="39" spans="1:5" x14ac:dyDescent="0.3">
      <c r="A39" s="5" t="s">
        <v>679</v>
      </c>
      <c r="B39" s="20">
        <f>B24*100000*B11/10000000</f>
        <v>146.18600000000001</v>
      </c>
      <c r="C39" s="20">
        <f>B24*100000*C11/10000000</f>
        <v>153.88</v>
      </c>
      <c r="D39" s="5" t="s">
        <v>159</v>
      </c>
      <c r="E39" s="5" t="s">
        <v>680</v>
      </c>
    </row>
    <row r="41" spans="1:5" x14ac:dyDescent="0.3">
      <c r="A41" s="7" t="s">
        <v>681</v>
      </c>
    </row>
    <row r="42" spans="1:5" x14ac:dyDescent="0.3">
      <c r="A42" s="7" t="s">
        <v>682</v>
      </c>
    </row>
    <row r="44" spans="1:5" x14ac:dyDescent="0.3">
      <c r="A44" s="10" t="s">
        <v>683</v>
      </c>
      <c r="B44" s="15">
        <f>B29*1000000000*B32/10000000</f>
        <v>566.36202363367795</v>
      </c>
      <c r="C44" s="15">
        <f>C29*1000000000*C32/10000000</f>
        <v>2166.4121122599699</v>
      </c>
      <c r="D44" s="5" t="s">
        <v>684</v>
      </c>
      <c r="E44" s="5" t="s">
        <v>685</v>
      </c>
    </row>
    <row r="45" spans="1:5" x14ac:dyDescent="0.3">
      <c r="A45" s="10" t="s">
        <v>686</v>
      </c>
      <c r="B45" s="15">
        <f>B31*1000</f>
        <v>862.095844912899</v>
      </c>
      <c r="C45" s="15">
        <f>C31*1000</f>
        <v>4070.1571969956094</v>
      </c>
      <c r="D45" s="5" t="s">
        <v>687</v>
      </c>
      <c r="E45" s="5" t="s">
        <v>688</v>
      </c>
    </row>
    <row r="46" spans="1:5" x14ac:dyDescent="0.3">
      <c r="A46" s="10" t="s">
        <v>689</v>
      </c>
      <c r="B46" s="15">
        <f>B38*1000000000*B32/10000000</f>
        <v>887.27067946824229</v>
      </c>
      <c r="C46" s="15">
        <f>C38*1000000000*C32/10000000</f>
        <v>1454.5420974889216</v>
      </c>
      <c r="D46" s="5" t="s">
        <v>684</v>
      </c>
      <c r="E46" s="5" t="s">
        <v>690</v>
      </c>
    </row>
    <row r="47" spans="1:5" x14ac:dyDescent="0.3">
      <c r="A47" s="10" t="s">
        <v>691</v>
      </c>
      <c r="B47" s="15">
        <f>B39*B35</f>
        <v>6004.2925449921759</v>
      </c>
      <c r="C47" s="15">
        <f>C39*C35</f>
        <v>6320.3079420970271</v>
      </c>
      <c r="D47" s="5" t="s">
        <v>684</v>
      </c>
      <c r="E47" s="5" t="s">
        <v>692</v>
      </c>
    </row>
    <row r="48" spans="1:5" x14ac:dyDescent="0.3">
      <c r="A48" s="10" t="s">
        <v>693</v>
      </c>
      <c r="B48" s="6">
        <f>B29*0.2</f>
        <v>0.46335600000000005</v>
      </c>
      <c r="C48" s="6">
        <f>C29*0.48</f>
        <v>4.2537599999999998</v>
      </c>
      <c r="D48" s="5" t="s">
        <v>655</v>
      </c>
      <c r="E48" s="5" t="s">
        <v>694</v>
      </c>
    </row>
    <row r="50" spans="1:12" x14ac:dyDescent="0.3">
      <c r="A50" s="10" t="s">
        <v>695</v>
      </c>
    </row>
    <row r="51" spans="1:12" ht="66" x14ac:dyDescent="0.3">
      <c r="A51" s="4" t="s">
        <v>20</v>
      </c>
      <c r="B51" s="4" t="s">
        <v>696</v>
      </c>
      <c r="C51" s="4" t="s">
        <v>697</v>
      </c>
      <c r="D51" s="4" t="s">
        <v>698</v>
      </c>
      <c r="E51" s="4" t="s">
        <v>699</v>
      </c>
      <c r="F51" s="4" t="s">
        <v>700</v>
      </c>
      <c r="G51" s="4" t="s">
        <v>701</v>
      </c>
      <c r="H51" s="4" t="s">
        <v>702</v>
      </c>
      <c r="I51" s="4" t="s">
        <v>703</v>
      </c>
      <c r="J51" s="4" t="s">
        <v>704</v>
      </c>
      <c r="K51" s="4" t="s">
        <v>705</v>
      </c>
      <c r="L51" s="4" t="s">
        <v>706</v>
      </c>
    </row>
    <row r="52" spans="1:12" x14ac:dyDescent="0.3">
      <c r="A52" s="5" t="s">
        <v>26</v>
      </c>
      <c r="B52" s="6">
        <f>(SUMIFS(UPAg_crops!$E$2:$E$951,UPAg_crops!$A$2:$A$951,"Bihar",UPAg_crops!$B$2:$B$951,"Maize",UPAg_crops!$C$2:$C$951,"Rabi",UPAg_crops!$D$2:$D$951,"2016-17")+SUMIFS(UPAg_crops!$E$2:$E$951,UPAg_crops!$A$2:$A$951,"Bihar",UPAg_crops!$B$2:$B$951,"Maize",UPAg_crops!$C$2:$C$951,"Rabi",UPAg_crops!$D$2:$D$951,"2017-18")+SUMIFS(UPAg_crops!$E$2:$E$951,UPAg_crops!$A$2:$A$951,"Bihar",UPAg_crops!$B$2:$B$951,"Maize",UPAg_crops!$C$2:$C$951,"Rabi",UPAg_crops!$D$2:$D$951,"2018-19")+SUMIFS(UPAg_crops!$E$2:$E$951,UPAg_crops!$A$2:$A$951,"Bihar",UPAg_crops!$B$2:$B$951,"Maize",UPAg_crops!$C$2:$C$951,"Summer",UPAg_crops!$D$2:$D$951,"2016-17")+SUMIFS(UPAg_crops!$E$2:$E$951,UPAg_crops!$A$2:$A$951,"Bihar",UPAg_crops!$B$2:$B$951,"Maize",UPAg_crops!$C$2:$C$951,"Summer",UPAg_crops!$D$2:$D$951,"2017-18")+SUMIFS(UPAg_crops!$E$2:$E$951,UPAg_crops!$A$2:$A$951,"Bihar",UPAg_crops!$B$2:$B$951,"Maize",UPAg_crops!$C$2:$C$951,"Summer",UPAg_crops!$D$2:$D$951,"2018-19"))/3</f>
        <v>4.5966666666666667</v>
      </c>
      <c r="C52" s="6">
        <f>(SUMIFS(UPAg_crops!$E$2:$E$951,UPAg_crops!$A$2:$A$951,"Bihar",UPAg_crops!$B$2:$B$951,"Maize",UPAg_crops!$C$2:$C$951,"Rabi",UPAg_crops!$D$2:$D$951,"2022-23")+SUMIFS(UPAg_crops!$E$2:$E$951,UPAg_crops!$A$2:$A$951,"Bihar",UPAg_crops!$B$2:$B$951,"Maize",UPAg_crops!$C$2:$C$951,"Rabi",UPAg_crops!$D$2:$D$951,"2023-24")+SUMIFS(UPAg_crops!$E$2:$E$951,UPAg_crops!$A$2:$A$951,"Bihar",UPAg_crops!$B$2:$B$951,"Maize",UPAg_crops!$C$2:$C$951,"Rabi",UPAg_crops!$D$2:$D$951,"2024-25")+SUMIFS(UPAg_crops!$E$2:$E$951,UPAg_crops!$A$2:$A$951,"Bihar",UPAg_crops!$B$2:$B$951,"Maize",UPAg_crops!$C$2:$C$951,"Summer",UPAg_crops!$D$2:$D$951,"2022-23")+SUMIFS(UPAg_crops!$E$2:$E$951,UPAg_crops!$A$2:$A$951,"Bihar",UPAg_crops!$B$2:$B$951,"Maize",UPAg_crops!$C$2:$C$951,"Summer",UPAg_crops!$D$2:$D$951,"2023-24")+SUMIFS(UPAg_crops!$E$2:$E$951,UPAg_crops!$A$2:$A$951,"Bihar",UPAg_crops!$B$2:$B$951,"Maize",UPAg_crops!$C$2:$C$951,"Summer",UPAg_crops!$D$2:$D$951,"2024-25"))/3</f>
        <v>6.7033333333333331</v>
      </c>
      <c r="D52" s="6">
        <f t="shared" ref="D52:D59" si="1">C52-B52</f>
        <v>2.1066666666666665</v>
      </c>
      <c r="E52" s="6">
        <f>D52*100000*B7*10/1000000000*B8</f>
        <v>0.38551999999999997</v>
      </c>
      <c r="F52" s="6">
        <f>D52*100000*C7*10/1000000000*C8</f>
        <v>1.4746666666666666</v>
      </c>
      <c r="G52" s="34">
        <v>13.26</v>
      </c>
      <c r="H52" s="34">
        <v>14.1</v>
      </c>
      <c r="I52" s="6">
        <f t="shared" ref="I52:I59" si="2">H52-G52</f>
        <v>0.83999999999999986</v>
      </c>
      <c r="J52" s="11">
        <f t="shared" ref="J52:J59" si="3">IF(I52&gt;0,E52/I52,"extraction fell")</f>
        <v>0.458952380952381</v>
      </c>
      <c r="K52" s="17">
        <f t="shared" ref="K52:K59" si="4">F52/H52</f>
        <v>0.10458628841607565</v>
      </c>
      <c r="L52" s="35">
        <v>0.45540000000000003</v>
      </c>
    </row>
    <row r="53" spans="1:12" x14ac:dyDescent="0.3">
      <c r="A53" s="5" t="s">
        <v>49</v>
      </c>
      <c r="B53" s="6">
        <f>(SUMIFS(UPAg_crops!$E$2:$E$951,UPAg_crops!$A$2:$A$951,"Karnataka",UPAg_crops!$B$2:$B$951,"Maize",UPAg_crops!$C$2:$C$951,"Rabi",UPAg_crops!$D$2:$D$951,"2016-17")+SUMIFS(UPAg_crops!$E$2:$E$951,UPAg_crops!$A$2:$A$951,"Karnataka",UPAg_crops!$B$2:$B$951,"Maize",UPAg_crops!$C$2:$C$951,"Rabi",UPAg_crops!$D$2:$D$951,"2017-18")+SUMIFS(UPAg_crops!$E$2:$E$951,UPAg_crops!$A$2:$A$951,"Karnataka",UPAg_crops!$B$2:$B$951,"Maize",UPAg_crops!$C$2:$C$951,"Rabi",UPAg_crops!$D$2:$D$951,"2018-19")+SUMIFS(UPAg_crops!$E$2:$E$951,UPAg_crops!$A$2:$A$951,"Karnataka",UPAg_crops!$B$2:$B$951,"Maize",UPAg_crops!$C$2:$C$951,"Summer",UPAg_crops!$D$2:$D$951,"2016-17")+SUMIFS(UPAg_crops!$E$2:$E$951,UPAg_crops!$A$2:$A$951,"Karnataka",UPAg_crops!$B$2:$B$951,"Maize",UPAg_crops!$C$2:$C$951,"Summer",UPAg_crops!$D$2:$D$951,"2017-18")+SUMIFS(UPAg_crops!$E$2:$E$951,UPAg_crops!$A$2:$A$951,"Karnataka",UPAg_crops!$B$2:$B$951,"Maize",UPAg_crops!$C$2:$C$951,"Summer",UPAg_crops!$D$2:$D$951,"2018-19"))/3</f>
        <v>1.1300000000000001</v>
      </c>
      <c r="C53" s="6">
        <f>(SUMIFS(UPAg_crops!$E$2:$E$951,UPAg_crops!$A$2:$A$951,"Karnataka",UPAg_crops!$B$2:$B$951,"Maize",UPAg_crops!$C$2:$C$951,"Rabi",UPAg_crops!$D$2:$D$951,"2022-23")+SUMIFS(UPAg_crops!$E$2:$E$951,UPAg_crops!$A$2:$A$951,"Karnataka",UPAg_crops!$B$2:$B$951,"Maize",UPAg_crops!$C$2:$C$951,"Rabi",UPAg_crops!$D$2:$D$951,"2023-24")+SUMIFS(UPAg_crops!$E$2:$E$951,UPAg_crops!$A$2:$A$951,"Karnataka",UPAg_crops!$B$2:$B$951,"Maize",UPAg_crops!$C$2:$C$951,"Rabi",UPAg_crops!$D$2:$D$951,"2024-25")+SUMIFS(UPAg_crops!$E$2:$E$951,UPAg_crops!$A$2:$A$951,"Karnataka",UPAg_crops!$B$2:$B$951,"Maize",UPAg_crops!$C$2:$C$951,"Summer",UPAg_crops!$D$2:$D$951,"2022-23")+SUMIFS(UPAg_crops!$E$2:$E$951,UPAg_crops!$A$2:$A$951,"Karnataka",UPAg_crops!$B$2:$B$951,"Maize",UPAg_crops!$C$2:$C$951,"Summer",UPAg_crops!$D$2:$D$951,"2023-24")+SUMIFS(UPAg_crops!$E$2:$E$951,UPAg_crops!$A$2:$A$951,"Karnataka",UPAg_crops!$B$2:$B$951,"Maize",UPAg_crops!$C$2:$C$951,"Summer",UPAg_crops!$D$2:$D$951,"2024-25"))/3</f>
        <v>3.0733333333333337</v>
      </c>
      <c r="D53" s="6">
        <f t="shared" si="1"/>
        <v>1.9433333333333336</v>
      </c>
      <c r="E53" s="6">
        <f>D53*100000*B7*10/1000000000*B8</f>
        <v>0.35563000000000006</v>
      </c>
      <c r="F53" s="6">
        <f>D53*100000*C7*10/1000000000*C8</f>
        <v>1.3603333333333338</v>
      </c>
      <c r="G53" s="34">
        <v>10.34</v>
      </c>
      <c r="H53" s="34">
        <v>11.55</v>
      </c>
      <c r="I53" s="6">
        <f t="shared" si="2"/>
        <v>1.2100000000000009</v>
      </c>
      <c r="J53" s="11">
        <f t="shared" si="3"/>
        <v>0.29390909090909073</v>
      </c>
      <c r="K53" s="17">
        <f t="shared" si="4"/>
        <v>0.11777777777777781</v>
      </c>
      <c r="L53" s="35">
        <v>0.68440000000000001</v>
      </c>
    </row>
    <row r="54" spans="1:12" x14ac:dyDescent="0.3">
      <c r="A54" s="5" t="s">
        <v>56</v>
      </c>
      <c r="B54" s="6">
        <f>(SUMIFS(UPAg_crops!$E$2:$E$951,UPAg_crops!$A$2:$A$951,"Uttar Pradesh",UPAg_crops!$B$2:$B$951,"Maize",UPAg_crops!$C$2:$C$951,"Rabi",UPAg_crops!$D$2:$D$951,"2016-17")+SUMIFS(UPAg_crops!$E$2:$E$951,UPAg_crops!$A$2:$A$951,"Uttar Pradesh",UPAg_crops!$B$2:$B$951,"Maize",UPAg_crops!$C$2:$C$951,"Rabi",UPAg_crops!$D$2:$D$951,"2017-18")+SUMIFS(UPAg_crops!$E$2:$E$951,UPAg_crops!$A$2:$A$951,"Uttar Pradesh",UPAg_crops!$B$2:$B$951,"Maize",UPAg_crops!$C$2:$C$951,"Rabi",UPAg_crops!$D$2:$D$951,"2018-19")+SUMIFS(UPAg_crops!$E$2:$E$951,UPAg_crops!$A$2:$A$951,"Uttar Pradesh",UPAg_crops!$B$2:$B$951,"Maize",UPAg_crops!$C$2:$C$951,"Summer",UPAg_crops!$D$2:$D$951,"2016-17")+SUMIFS(UPAg_crops!$E$2:$E$951,UPAg_crops!$A$2:$A$951,"Uttar Pradesh",UPAg_crops!$B$2:$B$951,"Maize",UPAg_crops!$C$2:$C$951,"Summer",UPAg_crops!$D$2:$D$951,"2017-18")+SUMIFS(UPAg_crops!$E$2:$E$951,UPAg_crops!$A$2:$A$951,"Uttar Pradesh",UPAg_crops!$B$2:$B$951,"Maize",UPAg_crops!$C$2:$C$951,"Summer",UPAg_crops!$D$2:$D$951,"2018-19"))/3</f>
        <v>0.4366666666666667</v>
      </c>
      <c r="C54" s="6">
        <f>(SUMIFS(UPAg_crops!$E$2:$E$951,UPAg_crops!$A$2:$A$951,"Uttar Pradesh",UPAg_crops!$B$2:$B$951,"Maize",UPAg_crops!$C$2:$C$951,"Rabi",UPAg_crops!$D$2:$D$951,"2022-23")+SUMIFS(UPAg_crops!$E$2:$E$951,UPAg_crops!$A$2:$A$951,"Uttar Pradesh",UPAg_crops!$B$2:$B$951,"Maize",UPAg_crops!$C$2:$C$951,"Rabi",UPAg_crops!$D$2:$D$951,"2023-24")+SUMIFS(UPAg_crops!$E$2:$E$951,UPAg_crops!$A$2:$A$951,"Uttar Pradesh",UPAg_crops!$B$2:$B$951,"Maize",UPAg_crops!$C$2:$C$951,"Rabi",UPAg_crops!$D$2:$D$951,"2024-25")+SUMIFS(UPAg_crops!$E$2:$E$951,UPAg_crops!$A$2:$A$951,"Uttar Pradesh",UPAg_crops!$B$2:$B$951,"Maize",UPAg_crops!$C$2:$C$951,"Summer",UPAg_crops!$D$2:$D$951,"2022-23")+SUMIFS(UPAg_crops!$E$2:$E$951,UPAg_crops!$A$2:$A$951,"Uttar Pradesh",UPAg_crops!$B$2:$B$951,"Maize",UPAg_crops!$C$2:$C$951,"Summer",UPAg_crops!$D$2:$D$951,"2023-24")+SUMIFS(UPAg_crops!$E$2:$E$951,UPAg_crops!$A$2:$A$951,"Uttar Pradesh",UPAg_crops!$B$2:$B$951,"Maize",UPAg_crops!$C$2:$C$951,"Summer",UPAg_crops!$D$2:$D$951,"2024-25"))/3</f>
        <v>2.3466666666666667</v>
      </c>
      <c r="D54" s="6">
        <f t="shared" si="1"/>
        <v>1.91</v>
      </c>
      <c r="E54" s="6">
        <f>D54*100000*B7*10/1000000000*B8</f>
        <v>0.34952999999999995</v>
      </c>
      <c r="F54" s="6">
        <f>D54*100000*C7*10/1000000000*C8</f>
        <v>1.337</v>
      </c>
      <c r="G54" s="34">
        <v>45.84</v>
      </c>
      <c r="H54" s="34">
        <v>46.76</v>
      </c>
      <c r="I54" s="6">
        <f t="shared" si="2"/>
        <v>0.9199999999999946</v>
      </c>
      <c r="J54" s="11">
        <f t="shared" si="3"/>
        <v>0.37992391304348044</v>
      </c>
      <c r="K54" s="17">
        <f t="shared" si="4"/>
        <v>2.8592814371257484E-2</v>
      </c>
      <c r="L54" s="35">
        <v>0.70450000000000002</v>
      </c>
    </row>
    <row r="55" spans="1:12" x14ac:dyDescent="0.3">
      <c r="A55" s="5" t="s">
        <v>55</v>
      </c>
      <c r="B55" s="6">
        <f>(SUMIFS(UPAg_crops!$E$2:$E$951,UPAg_crops!$A$2:$A$951,"Telangana",UPAg_crops!$B$2:$B$951,"Maize",UPAg_crops!$C$2:$C$951,"Rabi",UPAg_crops!$D$2:$D$951,"2016-17")+SUMIFS(UPAg_crops!$E$2:$E$951,UPAg_crops!$A$2:$A$951,"Telangana",UPAg_crops!$B$2:$B$951,"Maize",UPAg_crops!$C$2:$C$951,"Rabi",UPAg_crops!$D$2:$D$951,"2017-18")+SUMIFS(UPAg_crops!$E$2:$E$951,UPAg_crops!$A$2:$A$951,"Telangana",UPAg_crops!$B$2:$B$951,"Maize",UPAg_crops!$C$2:$C$951,"Rabi",UPAg_crops!$D$2:$D$951,"2018-19")+SUMIFS(UPAg_crops!$E$2:$E$951,UPAg_crops!$A$2:$A$951,"Telangana",UPAg_crops!$B$2:$B$951,"Maize",UPAg_crops!$C$2:$C$951,"Summer",UPAg_crops!$D$2:$D$951,"2016-17")+SUMIFS(UPAg_crops!$E$2:$E$951,UPAg_crops!$A$2:$A$951,"Telangana",UPAg_crops!$B$2:$B$951,"Maize",UPAg_crops!$C$2:$C$951,"Summer",UPAg_crops!$D$2:$D$951,"2017-18")+SUMIFS(UPAg_crops!$E$2:$E$951,UPAg_crops!$A$2:$A$951,"Telangana",UPAg_crops!$B$2:$B$951,"Maize",UPAg_crops!$C$2:$C$951,"Summer",UPAg_crops!$D$2:$D$951,"2018-19"))/3</f>
        <v>1.5</v>
      </c>
      <c r="C55" s="6">
        <f>(SUMIFS(UPAg_crops!$E$2:$E$951,UPAg_crops!$A$2:$A$951,"Telangana",UPAg_crops!$B$2:$B$951,"Maize",UPAg_crops!$C$2:$C$951,"Rabi",UPAg_crops!$D$2:$D$951,"2022-23")+SUMIFS(UPAg_crops!$E$2:$E$951,UPAg_crops!$A$2:$A$951,"Telangana",UPAg_crops!$B$2:$B$951,"Maize",UPAg_crops!$C$2:$C$951,"Rabi",UPAg_crops!$D$2:$D$951,"2023-24")+SUMIFS(UPAg_crops!$E$2:$E$951,UPAg_crops!$A$2:$A$951,"Telangana",UPAg_crops!$B$2:$B$951,"Maize",UPAg_crops!$C$2:$C$951,"Rabi",UPAg_crops!$D$2:$D$951,"2024-25")+SUMIFS(UPAg_crops!$E$2:$E$951,UPAg_crops!$A$2:$A$951,"Telangana",UPAg_crops!$B$2:$B$951,"Maize",UPAg_crops!$C$2:$C$951,"Summer",UPAg_crops!$D$2:$D$951,"2022-23")+SUMIFS(UPAg_crops!$E$2:$E$951,UPAg_crops!$A$2:$A$951,"Telangana",UPAg_crops!$B$2:$B$951,"Maize",UPAg_crops!$C$2:$C$951,"Summer",UPAg_crops!$D$2:$D$951,"2023-24")+SUMIFS(UPAg_crops!$E$2:$E$951,UPAg_crops!$A$2:$A$951,"Telangana",UPAg_crops!$B$2:$B$951,"Maize",UPAg_crops!$C$2:$C$951,"Summer",UPAg_crops!$D$2:$D$951,"2024-25"))/3</f>
        <v>3.0166666666666671</v>
      </c>
      <c r="D55" s="6">
        <f t="shared" si="1"/>
        <v>1.5166666666666671</v>
      </c>
      <c r="E55" s="6">
        <f>D55*100000*B7*10/1000000000*B8</f>
        <v>0.27755000000000007</v>
      </c>
      <c r="F55" s="6">
        <f>D55*100000*C7*10/1000000000*C8</f>
        <v>1.061666666666667</v>
      </c>
      <c r="G55" s="34">
        <v>8.09</v>
      </c>
      <c r="H55" s="34">
        <v>8.4700000000000006</v>
      </c>
      <c r="I55" s="6">
        <f t="shared" si="2"/>
        <v>0.38000000000000078</v>
      </c>
      <c r="J55" s="11">
        <f t="shared" si="3"/>
        <v>0.73039473684210399</v>
      </c>
      <c r="K55" s="17">
        <f t="shared" si="4"/>
        <v>0.12534435261707991</v>
      </c>
      <c r="L55" s="35">
        <v>0.45910000000000001</v>
      </c>
    </row>
    <row r="56" spans="1:12" x14ac:dyDescent="0.3">
      <c r="A56" s="5" t="s">
        <v>51</v>
      </c>
      <c r="B56" s="6">
        <f>(SUMIFS(UPAg_crops!$E$2:$E$951,UPAg_crops!$A$2:$A$951,"Maharashtra",UPAg_crops!$B$2:$B$951,"Maize",UPAg_crops!$C$2:$C$951,"Rabi",UPAg_crops!$D$2:$D$951,"2016-17")+SUMIFS(UPAg_crops!$E$2:$E$951,UPAg_crops!$A$2:$A$951,"Maharashtra",UPAg_crops!$B$2:$B$951,"Maize",UPAg_crops!$C$2:$C$951,"Rabi",UPAg_crops!$D$2:$D$951,"2017-18")+SUMIFS(UPAg_crops!$E$2:$E$951,UPAg_crops!$A$2:$A$951,"Maharashtra",UPAg_crops!$B$2:$B$951,"Maize",UPAg_crops!$C$2:$C$951,"Rabi",UPAg_crops!$D$2:$D$951,"2018-19")+SUMIFS(UPAg_crops!$E$2:$E$951,UPAg_crops!$A$2:$A$951,"Maharashtra",UPAg_crops!$B$2:$B$951,"Maize",UPAg_crops!$C$2:$C$951,"Summer",UPAg_crops!$D$2:$D$951,"2016-17")+SUMIFS(UPAg_crops!$E$2:$E$951,UPAg_crops!$A$2:$A$951,"Maharashtra",UPAg_crops!$B$2:$B$951,"Maize",UPAg_crops!$C$2:$C$951,"Summer",UPAg_crops!$D$2:$D$951,"2017-18")+SUMIFS(UPAg_crops!$E$2:$E$951,UPAg_crops!$A$2:$A$951,"Maharashtra",UPAg_crops!$B$2:$B$951,"Maize",UPAg_crops!$C$2:$C$951,"Summer",UPAg_crops!$D$2:$D$951,"2018-19"))/3</f>
        <v>3.2766666666666668</v>
      </c>
      <c r="C56" s="6">
        <f>(SUMIFS(UPAg_crops!$E$2:$E$951,UPAg_crops!$A$2:$A$951,"Maharashtra",UPAg_crops!$B$2:$B$951,"Maize",UPAg_crops!$C$2:$C$951,"Rabi",UPAg_crops!$D$2:$D$951,"2022-23")+SUMIFS(UPAg_crops!$E$2:$E$951,UPAg_crops!$A$2:$A$951,"Maharashtra",UPAg_crops!$B$2:$B$951,"Maize",UPAg_crops!$C$2:$C$951,"Rabi",UPAg_crops!$D$2:$D$951,"2023-24")+SUMIFS(UPAg_crops!$E$2:$E$951,UPAg_crops!$A$2:$A$951,"Maharashtra",UPAg_crops!$B$2:$B$951,"Maize",UPAg_crops!$C$2:$C$951,"Rabi",UPAg_crops!$D$2:$D$951,"2024-25")+SUMIFS(UPAg_crops!$E$2:$E$951,UPAg_crops!$A$2:$A$951,"Maharashtra",UPAg_crops!$B$2:$B$951,"Maize",UPAg_crops!$C$2:$C$951,"Summer",UPAg_crops!$D$2:$D$951,"2022-23")+SUMIFS(UPAg_crops!$E$2:$E$951,UPAg_crops!$A$2:$A$951,"Maharashtra",UPAg_crops!$B$2:$B$951,"Maize",UPAg_crops!$C$2:$C$951,"Summer",UPAg_crops!$D$2:$D$951,"2023-24")+SUMIFS(UPAg_crops!$E$2:$E$951,UPAg_crops!$A$2:$A$951,"Maharashtra",UPAg_crops!$B$2:$B$951,"Maize",UPAg_crops!$C$2:$C$951,"Summer",UPAg_crops!$D$2:$D$951,"2024-25"))/3</f>
        <v>4.6399999999999997</v>
      </c>
      <c r="D56" s="6">
        <f t="shared" si="1"/>
        <v>1.3633333333333328</v>
      </c>
      <c r="E56" s="6">
        <f>D56*100000*B7*10/1000000000*B8</f>
        <v>0.24948999999999991</v>
      </c>
      <c r="F56" s="6">
        <f>D56*100000*C7*10/1000000000*C8</f>
        <v>0.95433333333333303</v>
      </c>
      <c r="G56" s="34">
        <v>16.329999999999998</v>
      </c>
      <c r="H56" s="34">
        <v>16.5</v>
      </c>
      <c r="I56" s="6">
        <f t="shared" si="2"/>
        <v>0.17000000000000171</v>
      </c>
      <c r="J56" s="11">
        <f t="shared" si="3"/>
        <v>1.4675882352941023</v>
      </c>
      <c r="K56" s="17">
        <f t="shared" si="4"/>
        <v>5.7838383838383821E-2</v>
      </c>
      <c r="L56" s="35">
        <v>0.52990000000000004</v>
      </c>
    </row>
    <row r="57" spans="1:12" x14ac:dyDescent="0.3">
      <c r="A57" s="5" t="s">
        <v>50</v>
      </c>
      <c r="B57" s="6">
        <f>(SUMIFS(UPAg_crops!$E$2:$E$951,UPAg_crops!$A$2:$A$951,"Madhya Pradesh",UPAg_crops!$B$2:$B$951,"Maize",UPAg_crops!$C$2:$C$951,"Rabi",UPAg_crops!$D$2:$D$951,"2016-17")+SUMIFS(UPAg_crops!$E$2:$E$951,UPAg_crops!$A$2:$A$951,"Madhya Pradesh",UPAg_crops!$B$2:$B$951,"Maize",UPAg_crops!$C$2:$C$951,"Rabi",UPAg_crops!$D$2:$D$951,"2017-18")+SUMIFS(UPAg_crops!$E$2:$E$951,UPAg_crops!$A$2:$A$951,"Madhya Pradesh",UPAg_crops!$B$2:$B$951,"Maize",UPAg_crops!$C$2:$C$951,"Rabi",UPAg_crops!$D$2:$D$951,"2018-19")+SUMIFS(UPAg_crops!$E$2:$E$951,UPAg_crops!$A$2:$A$951,"Madhya Pradesh",UPAg_crops!$B$2:$B$951,"Maize",UPAg_crops!$C$2:$C$951,"Summer",UPAg_crops!$D$2:$D$951,"2016-17")+SUMIFS(UPAg_crops!$E$2:$E$951,UPAg_crops!$A$2:$A$951,"Madhya Pradesh",UPAg_crops!$B$2:$B$951,"Maize",UPAg_crops!$C$2:$C$951,"Summer",UPAg_crops!$D$2:$D$951,"2017-18")+SUMIFS(UPAg_crops!$E$2:$E$951,UPAg_crops!$A$2:$A$951,"Madhya Pradesh",UPAg_crops!$B$2:$B$951,"Maize",UPAg_crops!$C$2:$C$951,"Summer",UPAg_crops!$D$2:$D$951,"2018-19"))/3</f>
        <v>0.22666666666666666</v>
      </c>
      <c r="C57" s="6">
        <f>(SUMIFS(UPAg_crops!$E$2:$E$951,UPAg_crops!$A$2:$A$951,"Madhya Pradesh",UPAg_crops!$B$2:$B$951,"Maize",UPAg_crops!$C$2:$C$951,"Rabi",UPAg_crops!$D$2:$D$951,"2022-23")+SUMIFS(UPAg_crops!$E$2:$E$951,UPAg_crops!$A$2:$A$951,"Madhya Pradesh",UPAg_crops!$B$2:$B$951,"Maize",UPAg_crops!$C$2:$C$951,"Rabi",UPAg_crops!$D$2:$D$951,"2023-24")+SUMIFS(UPAg_crops!$E$2:$E$951,UPAg_crops!$A$2:$A$951,"Madhya Pradesh",UPAg_crops!$B$2:$B$951,"Maize",UPAg_crops!$C$2:$C$951,"Rabi",UPAg_crops!$D$2:$D$951,"2024-25")+SUMIFS(UPAg_crops!$E$2:$E$951,UPAg_crops!$A$2:$A$951,"Madhya Pradesh",UPAg_crops!$B$2:$B$951,"Maize",UPAg_crops!$C$2:$C$951,"Summer",UPAg_crops!$D$2:$D$951,"2022-23")+SUMIFS(UPAg_crops!$E$2:$E$951,UPAg_crops!$A$2:$A$951,"Madhya Pradesh",UPAg_crops!$B$2:$B$951,"Maize",UPAg_crops!$C$2:$C$951,"Summer",UPAg_crops!$D$2:$D$951,"2023-24")+SUMIFS(UPAg_crops!$E$2:$E$951,UPAg_crops!$A$2:$A$951,"Madhya Pradesh",UPAg_crops!$B$2:$B$951,"Maize",UPAg_crops!$C$2:$C$951,"Summer",UPAg_crops!$D$2:$D$951,"2024-25"))/3</f>
        <v>0.79666666666666675</v>
      </c>
      <c r="D57" s="6">
        <f t="shared" si="1"/>
        <v>0.57000000000000006</v>
      </c>
      <c r="E57" s="6">
        <f>D57*100000*B7*10/1000000000*B8</f>
        <v>0.10431000000000003</v>
      </c>
      <c r="F57" s="6">
        <f>D57*100000*C7*10/1000000000*C8</f>
        <v>0.39900000000000008</v>
      </c>
      <c r="G57" s="34">
        <v>18.88</v>
      </c>
      <c r="H57" s="34">
        <v>19.850000000000001</v>
      </c>
      <c r="I57" s="6">
        <f t="shared" si="2"/>
        <v>0.97000000000000242</v>
      </c>
      <c r="J57" s="11">
        <f t="shared" si="3"/>
        <v>0.10753608247422657</v>
      </c>
      <c r="K57" s="17">
        <f t="shared" si="4"/>
        <v>2.0100755667506298E-2</v>
      </c>
      <c r="L57" s="35">
        <v>0.58399999999999996</v>
      </c>
    </row>
    <row r="58" spans="1:12" x14ac:dyDescent="0.3">
      <c r="A58" s="5" t="s">
        <v>54</v>
      </c>
      <c r="B58" s="6">
        <f>(SUMIFS(UPAg_crops!$E$2:$E$951,UPAg_crops!$A$2:$A$951,"Tamil Nadu",UPAg_crops!$B$2:$B$951,"Maize",UPAg_crops!$C$2:$C$951,"Rabi",UPAg_crops!$D$2:$D$951,"2016-17")+SUMIFS(UPAg_crops!$E$2:$E$951,UPAg_crops!$A$2:$A$951,"Tamil Nadu",UPAg_crops!$B$2:$B$951,"Maize",UPAg_crops!$C$2:$C$951,"Rabi",UPAg_crops!$D$2:$D$951,"2017-18")+SUMIFS(UPAg_crops!$E$2:$E$951,UPAg_crops!$A$2:$A$951,"Tamil Nadu",UPAg_crops!$B$2:$B$951,"Maize",UPAg_crops!$C$2:$C$951,"Rabi",UPAg_crops!$D$2:$D$951,"2018-19")+SUMIFS(UPAg_crops!$E$2:$E$951,UPAg_crops!$A$2:$A$951,"Tamil Nadu",UPAg_crops!$B$2:$B$951,"Maize",UPAg_crops!$C$2:$C$951,"Summer",UPAg_crops!$D$2:$D$951,"2016-17")+SUMIFS(UPAg_crops!$E$2:$E$951,UPAg_crops!$A$2:$A$951,"Tamil Nadu",UPAg_crops!$B$2:$B$951,"Maize",UPAg_crops!$C$2:$C$951,"Summer",UPAg_crops!$D$2:$D$951,"2017-18")+SUMIFS(UPAg_crops!$E$2:$E$951,UPAg_crops!$A$2:$A$951,"Tamil Nadu",UPAg_crops!$B$2:$B$951,"Maize",UPAg_crops!$C$2:$C$951,"Summer",UPAg_crops!$D$2:$D$951,"2018-19"))/3</f>
        <v>1.7533333333333332</v>
      </c>
      <c r="C58" s="6">
        <f>(SUMIFS(UPAg_crops!$E$2:$E$951,UPAg_crops!$A$2:$A$951,"Tamil Nadu",UPAg_crops!$B$2:$B$951,"Maize",UPAg_crops!$C$2:$C$951,"Rabi",UPAg_crops!$D$2:$D$951,"2022-23")+SUMIFS(UPAg_crops!$E$2:$E$951,UPAg_crops!$A$2:$A$951,"Tamil Nadu",UPAg_crops!$B$2:$B$951,"Maize",UPAg_crops!$C$2:$C$951,"Rabi",UPAg_crops!$D$2:$D$951,"2023-24")+SUMIFS(UPAg_crops!$E$2:$E$951,UPAg_crops!$A$2:$A$951,"Tamil Nadu",UPAg_crops!$B$2:$B$951,"Maize",UPAg_crops!$C$2:$C$951,"Rabi",UPAg_crops!$D$2:$D$951,"2024-25")+SUMIFS(UPAg_crops!$E$2:$E$951,UPAg_crops!$A$2:$A$951,"Tamil Nadu",UPAg_crops!$B$2:$B$951,"Maize",UPAg_crops!$C$2:$C$951,"Summer",UPAg_crops!$D$2:$D$951,"2022-23")+SUMIFS(UPAg_crops!$E$2:$E$951,UPAg_crops!$A$2:$A$951,"Tamil Nadu",UPAg_crops!$B$2:$B$951,"Maize",UPAg_crops!$C$2:$C$951,"Summer",UPAg_crops!$D$2:$D$951,"2023-24")+SUMIFS(UPAg_crops!$E$2:$E$951,UPAg_crops!$A$2:$A$951,"Tamil Nadu",UPAg_crops!$B$2:$B$951,"Maize",UPAg_crops!$C$2:$C$951,"Summer",UPAg_crops!$D$2:$D$951,"2024-25"))/3</f>
        <v>2.2333333333333334</v>
      </c>
      <c r="D58" s="6">
        <f t="shared" si="1"/>
        <v>0.4800000000000002</v>
      </c>
      <c r="E58" s="6">
        <f>D58*100000*B7*10/1000000000*B8</f>
        <v>8.7840000000000043E-2</v>
      </c>
      <c r="F58" s="6">
        <f>D58*100000*C7*10/1000000000*C8</f>
        <v>0.33600000000000013</v>
      </c>
      <c r="G58" s="34">
        <v>14.73</v>
      </c>
      <c r="H58" s="34">
        <v>14.45</v>
      </c>
      <c r="I58" s="6">
        <f t="shared" si="2"/>
        <v>-0.28000000000000114</v>
      </c>
      <c r="J58" s="11" t="str">
        <f t="shared" si="3"/>
        <v>extraction fell</v>
      </c>
      <c r="K58" s="17">
        <f t="shared" si="4"/>
        <v>2.3252595155709353E-2</v>
      </c>
      <c r="L58" s="35">
        <v>0.74260000000000004</v>
      </c>
    </row>
    <row r="59" spans="1:12" x14ac:dyDescent="0.3">
      <c r="A59" s="5" t="s">
        <v>53</v>
      </c>
      <c r="B59" s="6">
        <f>(SUMIFS(UPAg_crops!$E$2:$E$951,UPAg_crops!$A$2:$A$951,"Rajasthan",UPAg_crops!$B$2:$B$951,"Maize",UPAg_crops!$C$2:$C$951,"Rabi",UPAg_crops!$D$2:$D$951,"2016-17")+SUMIFS(UPAg_crops!$E$2:$E$951,UPAg_crops!$A$2:$A$951,"Rajasthan",UPAg_crops!$B$2:$B$951,"Maize",UPAg_crops!$C$2:$C$951,"Rabi",UPAg_crops!$D$2:$D$951,"2017-18")+SUMIFS(UPAg_crops!$E$2:$E$951,UPAg_crops!$A$2:$A$951,"Rajasthan",UPAg_crops!$B$2:$B$951,"Maize",UPAg_crops!$C$2:$C$951,"Rabi",UPAg_crops!$D$2:$D$951,"2018-19")+SUMIFS(UPAg_crops!$E$2:$E$951,UPAg_crops!$A$2:$A$951,"Rajasthan",UPAg_crops!$B$2:$B$951,"Maize",UPAg_crops!$C$2:$C$951,"Summer",UPAg_crops!$D$2:$D$951,"2016-17")+SUMIFS(UPAg_crops!$E$2:$E$951,UPAg_crops!$A$2:$A$951,"Rajasthan",UPAg_crops!$B$2:$B$951,"Maize",UPAg_crops!$C$2:$C$951,"Summer",UPAg_crops!$D$2:$D$951,"2017-18")+SUMIFS(UPAg_crops!$E$2:$E$951,UPAg_crops!$A$2:$A$951,"Rajasthan",UPAg_crops!$B$2:$B$951,"Maize",UPAg_crops!$C$2:$C$951,"Summer",UPAg_crops!$D$2:$D$951,"2018-19"))/3</f>
        <v>4.6666666666666669E-2</v>
      </c>
      <c r="C59" s="6">
        <f>(SUMIFS(UPAg_crops!$E$2:$E$951,UPAg_crops!$A$2:$A$951,"Rajasthan",UPAg_crops!$B$2:$B$951,"Maize",UPAg_crops!$C$2:$C$951,"Rabi",UPAg_crops!$D$2:$D$951,"2022-23")+SUMIFS(UPAg_crops!$E$2:$E$951,UPAg_crops!$A$2:$A$951,"Rajasthan",UPAg_crops!$B$2:$B$951,"Maize",UPAg_crops!$C$2:$C$951,"Rabi",UPAg_crops!$D$2:$D$951,"2023-24")+SUMIFS(UPAg_crops!$E$2:$E$951,UPAg_crops!$A$2:$A$951,"Rajasthan",UPAg_crops!$B$2:$B$951,"Maize",UPAg_crops!$C$2:$C$951,"Rabi",UPAg_crops!$D$2:$D$951,"2024-25")+SUMIFS(UPAg_crops!$E$2:$E$951,UPAg_crops!$A$2:$A$951,"Rajasthan",UPAg_crops!$B$2:$B$951,"Maize",UPAg_crops!$C$2:$C$951,"Summer",UPAg_crops!$D$2:$D$951,"2022-23")+SUMIFS(UPAg_crops!$E$2:$E$951,UPAg_crops!$A$2:$A$951,"Rajasthan",UPAg_crops!$B$2:$B$951,"Maize",UPAg_crops!$C$2:$C$951,"Summer",UPAg_crops!$D$2:$D$951,"2023-24")+SUMIFS(UPAg_crops!$E$2:$E$951,UPAg_crops!$A$2:$A$951,"Rajasthan",UPAg_crops!$B$2:$B$951,"Maize",UPAg_crops!$C$2:$C$951,"Summer",UPAg_crops!$D$2:$D$951,"2024-25"))/3</f>
        <v>0.24</v>
      </c>
      <c r="D59" s="6">
        <f t="shared" si="1"/>
        <v>0.19333333333333333</v>
      </c>
      <c r="E59" s="6">
        <f>D59*100000*B7*10/1000000000*B8</f>
        <v>3.5380000000000002E-2</v>
      </c>
      <c r="F59" s="6">
        <f>D59*100000*C7*10/1000000000*C8</f>
        <v>0.13533333333333331</v>
      </c>
      <c r="G59" s="34">
        <v>16.77</v>
      </c>
      <c r="H59" s="34">
        <v>17.05</v>
      </c>
      <c r="I59" s="6">
        <f t="shared" si="2"/>
        <v>0.28000000000000114</v>
      </c>
      <c r="J59" s="11">
        <f t="shared" si="3"/>
        <v>0.12635714285714236</v>
      </c>
      <c r="K59" s="17">
        <f t="shared" si="4"/>
        <v>7.9374389051808381E-3</v>
      </c>
      <c r="L59" s="35">
        <v>1.4985999999999999</v>
      </c>
    </row>
    <row r="61" spans="1:12" x14ac:dyDescent="0.3">
      <c r="A61" s="7" t="s">
        <v>707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Normal="100" workbookViewId="0">
      <selection activeCell="B18" sqref="B18"/>
    </sheetView>
  </sheetViews>
  <sheetFormatPr defaultColWidth="8.6640625" defaultRowHeight="14.4" x14ac:dyDescent="0.3"/>
  <cols>
    <col min="1" max="1" width="14" customWidth="1"/>
    <col min="2" max="2" width="120" customWidth="1"/>
  </cols>
  <sheetData>
    <row r="1" spans="1:2" ht="17.399999999999999" x14ac:dyDescent="0.3">
      <c r="A1" s="1" t="s">
        <v>0</v>
      </c>
    </row>
    <row r="3" spans="1:2" x14ac:dyDescent="0.3">
      <c r="A3" s="2" t="s">
        <v>1</v>
      </c>
      <c r="B3" s="3" t="s">
        <v>2</v>
      </c>
    </row>
    <row r="4" spans="1:2" x14ac:dyDescent="0.3">
      <c r="A4" s="2" t="s">
        <v>3</v>
      </c>
      <c r="B4" s="3" t="s">
        <v>4</v>
      </c>
    </row>
    <row r="5" spans="1:2" x14ac:dyDescent="0.3">
      <c r="A5" s="2" t="s">
        <v>5</v>
      </c>
      <c r="B5" s="3" t="s">
        <v>6</v>
      </c>
    </row>
    <row r="6" spans="1:2" x14ac:dyDescent="0.3">
      <c r="A6" s="2" t="s">
        <v>7</v>
      </c>
      <c r="B6" s="3" t="s">
        <v>8</v>
      </c>
    </row>
    <row r="7" spans="1:2" x14ac:dyDescent="0.3">
      <c r="A7" s="2" t="s">
        <v>9</v>
      </c>
      <c r="B7" s="3" t="s">
        <v>10</v>
      </c>
    </row>
    <row r="8" spans="1:2" ht="26.4" x14ac:dyDescent="0.3">
      <c r="A8" s="2" t="s">
        <v>11</v>
      </c>
      <c r="B8" s="3" t="s">
        <v>12</v>
      </c>
    </row>
    <row r="9" spans="1:2" ht="39.6" x14ac:dyDescent="0.3">
      <c r="A9" s="2" t="s">
        <v>13</v>
      </c>
      <c r="B9" s="3" t="s">
        <v>14</v>
      </c>
    </row>
    <row r="10" spans="1:2" x14ac:dyDescent="0.3">
      <c r="A10" s="2" t="s">
        <v>11</v>
      </c>
      <c r="B10" s="3" t="s">
        <v>15</v>
      </c>
    </row>
    <row r="11" spans="1:2" x14ac:dyDescent="0.3">
      <c r="A11" s="2" t="s">
        <v>16</v>
      </c>
      <c r="B11" s="3" t="s">
        <v>17</v>
      </c>
    </row>
    <row r="12" spans="1:2" ht="26.4" x14ac:dyDescent="0.3">
      <c r="A12" s="2" t="s">
        <v>18</v>
      </c>
      <c r="B12" s="3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UPAg_crops</vt:lpstr>
      <vt:lpstr>Groundwater</vt:lpstr>
      <vt:lpstr>Rainfall</vt:lpstr>
      <vt:lpstr>Sugarcane</vt:lpstr>
      <vt:lpstr>Rice</vt:lpstr>
      <vt:lpstr>Coarse_cereals</vt:lpstr>
      <vt:lpstr>National_production</vt:lpstr>
      <vt:lpstr>MSP_FRP</vt:lpstr>
      <vt:lpstr>Ethanol</vt:lpstr>
      <vt:lpstr>Source_Log</vt:lpstr>
      <vt:lpstr>Gaps</vt:lpstr>
      <vt:lpstr>Analysis_H1</vt:lpstr>
      <vt:lpstr>Analysis_H2H3</vt:lpstr>
      <vt:lpstr>Analysis_H4</vt:lpstr>
      <vt:lpstr>Analysis_Water</vt:lpstr>
      <vt:lpstr>Analysis_Stage4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Anghan Omkumar Dineshbhai</cp:lastModifiedBy>
  <cp:revision>0</cp:revision>
  <dcterms:created xsi:type="dcterms:W3CDTF">2026-10-25T04:34:23Z</dcterms:created>
  <dcterms:modified xsi:type="dcterms:W3CDTF">2026-10-25T10:54:19Z</dcterms:modified>
  <dc:language>en-US</dc:language>
</cp:coreProperties>
</file>